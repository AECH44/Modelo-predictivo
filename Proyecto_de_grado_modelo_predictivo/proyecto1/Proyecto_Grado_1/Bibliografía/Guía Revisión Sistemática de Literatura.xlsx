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Q" sheetId="1" r:id="rId5"/>
    <sheet state="visible" name="Search string" sheetId="2" r:id="rId6"/>
    <sheet state="visible" name="Criterios de Inclusion" sheetId="3" r:id="rId7"/>
    <sheet state="visible" name="Bases de Datos" sheetId="4" r:id="rId8"/>
    <sheet state="visible" name="Lectura de Artículos RQ1" sheetId="5" r:id="rId9"/>
    <sheet state="visible" name="Lectura de Artículos RQ2" sheetId="6" r:id="rId10"/>
    <sheet state="visible" name="Matriz de Analisis" sheetId="7" r:id="rId11"/>
    <sheet state="visible" name="Papers" sheetId="8" r:id="rId12"/>
  </sheets>
  <definedNames/>
  <calcPr/>
</workbook>
</file>

<file path=xl/sharedStrings.xml><?xml version="1.0" encoding="utf-8"?>
<sst xmlns="http://schemas.openxmlformats.org/spreadsheetml/2006/main" count="1095" uniqueCount="844">
  <si>
    <t>RQ1</t>
  </si>
  <si>
    <t>¿Cuál de los algoritmos de aprendizaje automático (como Stacking, Random Forest o Redes Neuronales) presenta el mayor nivel de precisión y el menor Error Cuadrático Medio (RMSE) al predecir el puntaje global en Ingeniería?</t>
  </si>
  <si>
    <t>RQ2</t>
  </si>
  <si>
    <t>¿Cómo puede integrarse el modelo predictivo en un Sistema de Alerta Temprana (SAT) que permita a la Facultad de Ingeniería identificar estudiantes en riesgo de bajo desempeño y medir el "valor agregado" aportado por la institución?</t>
  </si>
  <si>
    <t>Integrantes</t>
  </si>
  <si>
    <t>Carlos andres montoya, Santiago zapata suarez, Jhan carlos mesa, Salome campiño velez</t>
  </si>
  <si>
    <t xml:space="preserve">Research question </t>
  </si>
  <si>
    <t>Search string</t>
  </si>
  <si>
    <t>Sustainable Development*</t>
  </si>
  <si>
    <t>AND</t>
  </si>
  <si>
    <t>Sustainability management,</t>
  </si>
  <si>
    <t>OR</t>
  </si>
  <si>
    <t>sustainability</t>
  </si>
  <si>
    <t>sustainable higher education institutions</t>
  </si>
  <si>
    <t>sustainable University</t>
  </si>
  <si>
    <t>sustainable HEI</t>
  </si>
  <si>
    <t>sustainable University models</t>
  </si>
  <si>
    <t>sustainable development</t>
  </si>
  <si>
    <t>Los descriptores y estrategias utilizados para la búsqueda en las bases de datos fueron: sustainability AND universities AND sustainable development AND higher education; para todos los descriptores se utilizaron los términos traducidos al inglés y el booleano "OR"</t>
  </si>
  <si>
    <t>Español:</t>
  </si>
  <si>
    <t>Inteligencia artificial</t>
  </si>
  <si>
    <t xml:space="preserve">"inteligencia artificial" AND "plataforma conversacional" AND "Agente virtual en Universidades" AND "procesamiento del lenguaje natural" AND "reducción de errores humanos"
</t>
  </si>
  <si>
    <t>¿Cómo usarlos?</t>
  </si>
  <si>
    <t>Plataforma conversacional</t>
  </si>
  <si>
    <t xml:space="preserve">("inteligencia artificial" OR "IA") OR ("plataforma conversacional" OR "asistente virtual" OR "chatbot") OR ("Agente virtual en Universidades" OR "Agente virtual educativos" OR "informes presupuestarios") OR ("procesamiento del lenguaje natural" OR "PLN") OR ("reducción de errores humanos" OR "optimización de procesos administrativos")
</t>
  </si>
  <si>
    <t>Asistente virtual</t>
  </si>
  <si>
    <t>Si buscas información específica y relevante, usa AND para filtrar solo los resultados que incluyan todos los términos.</t>
  </si>
  <si>
    <t>Asistente de inteligencia artificial</t>
  </si>
  <si>
    <t>Si necesitas una búsqueda más amplia con más resultados, usa OR para incluir documentos que contengan al menos uno de los términos.</t>
  </si>
  <si>
    <t>Procesamiento del lenguaje natural</t>
  </si>
  <si>
    <t>Puedes copiar y pegar estas combinaciones en bases de datos académicas como Google Scholar, Scopus, IEEE Xplore o ScienceDirect para obtener información relevante.</t>
  </si>
  <si>
    <t>Optimización de procesos administrativos</t>
  </si>
  <si>
    <t>Reducción de errores humanos</t>
  </si>
  <si>
    <t>Chatbots para educación superior</t>
  </si>
  <si>
    <t>Inglés:</t>
  </si>
  <si>
    <t>Artificial intelligence</t>
  </si>
  <si>
    <t xml:space="preserve">"artificial intelligence" AND "conversational platform" AND "Virtual agents in universities" AND "natural language processing" AND "reduction of human errors"
</t>
  </si>
  <si>
    <t>Conversational platform</t>
  </si>
  <si>
    <t xml:space="preserve">("artificial intelligence" OR "AI") OR ("conversational platform" OR "virtual assistant" OR "chatbot") OR ("Virtual agent in universities" OR "Educational virtual agent") OR ("natural language processing" OR "NLP") OR ("reduction of human errors" OR "optimization of administrative processes")
</t>
  </si>
  <si>
    <t>Virtual assistant</t>
  </si>
  <si>
    <t>Automated report generation</t>
  </si>
  <si>
    <t>Budget reports</t>
  </si>
  <si>
    <t>Natural language processing</t>
  </si>
  <si>
    <t>Report automation</t>
  </si>
  <si>
    <t>Optimization of administrative processes</t>
  </si>
  <si>
    <t>Reduction of human errors</t>
  </si>
  <si>
    <t>Chatbots in higher education</t>
  </si>
  <si>
    <t>• Inclusion criteria: i) publications written in Spanish and English; ii) publications from</t>
  </si>
  <si>
    <t>2010-2025; iii) papers that presented specific strategies and iv)</t>
  </si>
  <si>
    <t>research and conference papers.</t>
  </si>
  <si>
    <t>• Exclusion criteria: i) review and philosophical papers such as literature reviews and</t>
  </si>
  <si>
    <t>reflective studies.</t>
  </si>
  <si>
    <t>Criterios de Inclusión (Inclusion Criteria)
Para garantizar la relevancia y calidad de la búsqueda bibliográfica, se incluirán los siguientes tipos de publicaciones:
Publicaciones en español, inglés: Se seleccionarán estudios en estos cuatro idiomas para ampliar el acceso a literatura académica relevante en diferentes contextos y regiones.
Publicaciones de los últimos cinco años (2010-2025): Se priorizarán artículos recientes para reflejar los avances tecnológicos y metodológicos más actualizados en inteligencia artificial aplicada a plataformas conversacionales y generación automatizada de informes.
Estudios que presenten estrategias específicas: Se incluirán investigaciones que describan enfoques, metodologías, herramientas o técnicas utilizadas en el desarrollo de plataformas conversacionales basadas en inteligencia artificial para la generación de informes.
Artículos de investigación y conferencias académicas: Se tomarán en cuenta publicaciones científicas revisadas por pares y ponencias en conferencias reconocidas, ya que aportan evidencia empírica y validaciones en el campo.</t>
  </si>
  <si>
    <t>Criterios de Exclusión (Exclusion Criteria)</t>
  </si>
  <si>
    <t>Para evitar información redundante o no aplicable, se excluirán los siguientes tipos de publicaciones:</t>
  </si>
  <si>
    <t>Artículos de revisión y estudios filosóficos: Se descartarán revisiones de literatura y estudios reflexivos o teóricos sin aplicación práctica, ya que el enfoque del proyecto está en soluciones concretas.</t>
  </si>
  <si>
    <t>Estudios sin estrategias aplicadas: Publicaciones que solo discutan aspectos generales de la inteligencia artificial o plataformas conversacionales sin abordar aplicaciones prácticas en la generación automatizada de informes.</t>
  </si>
  <si>
    <t>Trabajos anteriores a 2019: Estudios más antiguos podrían no reflejar los avances recientes en inteligencia artificial y procesamiento del lenguaje natural, por lo que no serán considerados.</t>
  </si>
  <si>
    <t>Resseach rabbit</t>
  </si>
  <si>
    <t>WEB OF Science</t>
  </si>
  <si>
    <t>Google Scholar</t>
  </si>
  <si>
    <t>#</t>
  </si>
  <si>
    <t>Título del Artículo</t>
  </si>
  <si>
    <t>Autores</t>
  </si>
  <si>
    <t>Año</t>
  </si>
  <si>
    <t>Palabras Claves</t>
  </si>
  <si>
    <t>1. POR QUÉ: ¿Cuál es el propósito general del trabajo? ¿En qué se diferencia o cómo se relaciona con otros trabajos? (introducción)</t>
  </si>
  <si>
    <t>2. CÓMO: ¿Cómo se dio respuesta a la pregunta de investigación? ¿Los métodos son adecuados? ¿El trabajo es reproducible? (materiales y métodos)</t>
  </si>
  <si>
    <t>QUÉ: ¿Cuáles son los hallazgos de la investigación? ¿Son coherentes las conclusiones que se derivan de los resultados? (resultados y discusión)</t>
  </si>
  <si>
    <t>4. QUÉ FALTA: ¿Qué preguntas quedan sin responder o qué nuevas preguntas surgen de la investigación? ¿El autor menciona algunas?</t>
  </si>
  <si>
    <t>5. RESUMEN: hacer un resumen del artículo con palabras propias</t>
  </si>
  <si>
    <t>PÁRRAFO (entregable)</t>
  </si>
  <si>
    <t>Validation Machine Learning Models To Predict Score On Graduate Tests Based On High School Test And Other Factors</t>
  </si>
  <si>
    <t>Sabalza Mejia, M., Campillo, C., Martinez Santos, J. C.</t>
  </si>
  <si>
    <t>2021</t>
  </si>
  <si>
    <t>Machine Learning, Stacking, Saber Pro, RMSE.</t>
  </si>
  <si>
    <t>Validar modelos de ML para predecir puntajes globales de Saber Pro basados en Saber 11 y variables socioeconómicas estables en un rango de 5 años.</t>
  </si>
  <si>
    <t>Aplicación de KNN, DT, RF, ElasticNet, XGBoost y Stacking. Uso de Pareto 80-20 para entrenamiento/validación y selección de variables mediante Chi-cuadrado.</t>
  </si>
  <si>
    <t>El modelo  Stacking  alcanzó una precisión del  80.41%  con un  RMSE de 14.76  y R-cuadrado de 0.61. KNN y DT lograron un 100% de aciertos bajo un rango de tolerancia de +/- 10 puntos.</t>
  </si>
  <si>
    <t>Inclusión de la variable de modalidad laboral (estudiante-trabajador).</t>
  </si>
  <si>
    <t>El ensamble Stacking optimiza la variabilidad explicada sobre los modelos individuales.</t>
  </si>
  <si>
    <t>Es imperativo adoptar modelos de ensamble para el sistema de alerta temprana de la facultad dado su bajo error cuadrático medio.</t>
  </si>
  <si>
    <t>Minería de datos educativos: Análisis del desempeño de estudiantes de ingeniería en las pruebas SABER-PRO</t>
  </si>
  <si>
    <t>Oviedo Carrascal, A. I., Jiménez Giraldo, J.</t>
  </si>
  <si>
    <t>2019</t>
  </si>
  <si>
    <t>EDM, CRISP-DM, Ingeniería, Clustering.</t>
  </si>
  <si>
    <t>Identificar factores determinantes en el desempeño de ingenieros en Antioquia.</t>
  </si>
  <si>
    <t>Metodología CRISP-DM. Clustering con K-means (k=6) y predicción con KNN (Kfolds=10) sobre 108 variables.</t>
  </si>
  <si>
    <t>Precisión general del  81.12% . Variables críticas: número de personas a cargo, método de enseñanza, posesión de motocicleta y horno micro-gas.</t>
  </si>
  <si>
    <t>Evaluación del impacto de las políticas de mitigación del Ministerio de Educación a través del tiempo.</t>
  </si>
  <si>
    <t>La condición socioeconómica condiciona el desempeño bilingüe (estratos altos) frente a lectura crítica (estratos bajos).</t>
  </si>
  <si>
    <t>La facultad debe monitorear variables no académicas como la tenencia de bienes para perfilar el riesgo socioeconómico.</t>
  </si>
  <si>
    <t>Saber Pro success prediction model using decision tree based learning</t>
  </si>
  <si>
    <t>Pérez Bernal, G., Toro Villegas, L., Toro, M.</t>
  </si>
  <si>
    <t>2020</t>
  </si>
  <si>
    <t>CART, Éxito académico, Gini, Saber pro.</t>
  </si>
  <si>
    <t>Predecir la probabilidad de que un estudiante supere el promedio nacional en Saber Pro.</t>
  </si>
  <si>
    <t>Algoritmo CART con división basada en ganancia de información. Manejo de variables categóricas y numéricas.</t>
  </si>
  <si>
    <t>Precisión del  75.00% . Se identificó el puntaje de  Ciencias Sociales en Saber 11  como el predictor de mayor peso.</t>
  </si>
  <si>
    <t>Estabilidad del modelo ante variaciones en la profundidad de la recursión.</t>
  </si>
  <si>
    <t>Los árboles de decisión permiten reglas de negocio interpretables para la toma de decisiones administrativa.</t>
  </si>
  <si>
    <t>Reforzar competencias ciudadanas en ingeniería es una vía directa para elevar el promedio global.</t>
  </si>
  <si>
    <t>Mutual information-driven feature selection for Saber Pro test analysis</t>
  </si>
  <si>
    <t>Orozco Morales, N., Valderrama Garcia, L., et al.</t>
  </si>
  <si>
    <t>2025</t>
  </si>
  <si>
    <t>Información Mutua (MI), SNIES, Matrícula.</t>
  </si>
  <si>
    <t>Jerarquizar predictores mediante dependencias estadísticas no lineales.</t>
  </si>
  <si>
    <t>Método de Información Mutua (MI) y SelectKBest sobre 26,538 registros. Codificación mediante BinaryEncoder y OneHotEncoder.</t>
  </si>
  <si>
    <t>Los predictores top fueron:  valor de la matrícula , código SNIES del programa y ubicación geográfica (municipio).</t>
  </si>
  <si>
    <t>Análisis de sensibilidad ante variables de alta cardinalidad.</t>
  </si>
  <si>
    <t>El método MI reduce el sobreajuste al eliminar redundancias que el análisis lineal (PCA) ignora.</t>
  </si>
  <si>
    <t>La inversión en matrícula es un proxy de recursos de aprendizaje que la facultad debe integrar en sus modelos de analítica.</t>
  </si>
  <si>
    <t>Análisis de la acreditación de calidad en programas de ingeniería industrial y Saber Pro</t>
  </si>
  <si>
    <t>Delahoz-Domínguez, E. J., Guillen-Ibarra, S., et al.</t>
  </si>
  <si>
    <t>Acreditación, PCA, Comunicación Escrita.</t>
  </si>
  <si>
    <t>Correlacionar la acreditación institucional con el desempeño académico.</t>
  </si>
  <si>
    <t>Análisis de componentes principales (PCA) y aprendizaje supervisado.</t>
  </si>
  <si>
    <t>La variable  Comunicación Escrita  clasifica con alta precisión a las instituciones acreditadas de alta calidad.</t>
  </si>
  <si>
    <t>Explicación causal de la dominancia de competencias genéricas sobre las específicas en la clasificación.</t>
  </si>
  <si>
    <t>La acreditación es un predictor robusto de competencias genéricas superiores.</t>
  </si>
  <si>
    <t>La facultad debe priorizar la comunicación escrita como indicador de calidad en sus procesos de autoevaluación.</t>
  </si>
  <si>
    <t>Gender and other factors influencing the outcome in Civil Engineering</t>
  </si>
  <si>
    <t>Cantillo, V., García, L.</t>
  </si>
  <si>
    <t>2014</t>
  </si>
  <si>
    <t>Género, Ingeniería Civil, Regresión.</t>
  </si>
  <si>
    <t>Evaluar disparidades de género y factores socioeconómicos en Ingeniería Civil.</t>
  </si>
  <si>
    <t>Modelos de regresión lineal y análisis descriptivo.</t>
  </si>
  <si>
    <t>No hay brechas globales, pero los hombres dominan en ciencias naturales y las mujeres en competencias verbales.</t>
  </si>
  <si>
    <t>Actualización de variables bajo el nuevo marco de competencias 2016-2024.</t>
  </si>
  <si>
    <t>El impacto del género es específico al área de conocimiento, no al potencial intelectual global.</t>
  </si>
  <si>
    <t>Es necesario diseñar refuerzos diferenciados por módulos para cerrar brechas específicas de género.</t>
  </si>
  <si>
    <t>Predicción de la eficiencia de las IES con DEA y Minería de Datos</t>
  </si>
  <si>
    <t>Visbal Cadavid, D., Mendoza, A., et al.</t>
  </si>
  <si>
    <t>2017</t>
  </si>
  <si>
    <t>DEA, Random Forest, SVM.</t>
  </si>
  <si>
    <t>Predecir la eficiencia operativa y académica de las IES colombianas.</t>
  </si>
  <si>
    <t>Integración de Data Envelopment Analysis (DEA) con Random Forest, SVM y K-means.</t>
  </si>
  <si>
    <t>Identificación de tipos de estudiantes según área de estudio y eficiencia institucional.</t>
  </si>
  <si>
    <t>Variables de infraestructura tecnológica física de las facultades.</t>
  </si>
  <si>
    <t>La EDM permite modelar la eficiencia institucional a partir de resultados individuales.</t>
  </si>
  <si>
    <t>La facultad puede utilizar estos modelos para auditar su eficiencia interna frente a pares nacionales.</t>
  </si>
  <si>
    <t>Decision trees for predicting factors in high school students</t>
  </si>
  <si>
    <t>Timarán-Pereira, R., Caicedo-Zambrano, J., et al.</t>
  </si>
  <si>
    <t>Saber 11, Árboles de decisión, Factores asociados.</t>
  </si>
  <si>
    <t>Predecir factores asociados al desempeño en Saber 11.</t>
  </si>
  <si>
    <t>Árboles de decisión para identificar nodos raíz socioeconómicos.</t>
  </si>
  <si>
    <t>El nivel educativo de los padres es el condicionante principal del desempeño inicial.</t>
  </si>
  <si>
    <t>Seguimiento longitudinal hacia el desempeño en educación superior.</t>
  </si>
  <si>
    <t>La historia académica previa es el predictor basal del éxito universitario.</t>
  </si>
  <si>
    <t>El perfil de ingreso debe basarse en la escolaridad de los padres como indicador de riesgo primario.</t>
  </si>
  <si>
    <t>Proceso de descubrimiento de patrones en inglés con CRISP-DM</t>
  </si>
  <si>
    <t>Timarán-Pereira, R.</t>
  </si>
  <si>
    <t>2016</t>
  </si>
  <si>
    <t>Inglés, J48, Modalidad.</t>
  </si>
  <si>
    <t>Detectar patrones en la competencia de inglés en Saber Pro.</t>
  </si>
  <si>
    <t>Algoritmo J48 (basado en C4.5) bajo metodología CRISP-DM.</t>
  </si>
  <si>
    <t>Confianza del 60%. La modalidad presencial y la acreditación institucional son predictores clave.</t>
  </si>
  <si>
    <t>Análisis de herramientas de aprendizaje bilingüe autónomo.</t>
  </si>
  <si>
    <t>El entorno institucional es determinante para el bilingüismo en educación superior.</t>
  </si>
  <si>
    <t>Se deben implementar estrategias intensivas para programas no presenciales dado su rezago predictivo.</t>
  </si>
  <si>
    <t>Descubrimiento de patrones en Lectura Crítica</t>
  </si>
  <si>
    <t>Arteaga, I. H., Alvarado, J. C.</t>
  </si>
  <si>
    <t>2015</t>
  </si>
  <si>
    <t>Lectura Crítica, J48, Variabilidad.</t>
  </si>
  <si>
    <t>Hallar patrones de rendimiento en lectura crítica.</t>
  </si>
  <si>
    <t>Árboles de decisión J48 y CRISP-DM.</t>
  </si>
  <si>
    <t>Máxima confianza del 25%, indicando alta variabilidad y dificultad de clasificación simple.</t>
  </si>
  <si>
    <t>Modelos no lineales para capturar la complejidad lectora.</t>
  </si>
  <si>
    <t>La lectura crítica presenta el mayor desafío de predicción por su naturaleza multivariada.</t>
  </si>
  <si>
    <t>La facultad debe abordar la lectura crítica con modelos de ensamble, evitando reglas simplistas.</t>
  </si>
  <si>
    <t>Identification of factors associated with performance (Linear Models)</t>
  </si>
  <si>
    <t>Berdugo, E., Bustos, D., et al.</t>
  </si>
  <si>
    <t>Regresión Lineal, Saber TyT, Saber Pro.</t>
  </si>
  <si>
    <t>Comparar factores asociados entre Saber Pro y Saber TyT.</t>
  </si>
  <si>
    <t>Regresión Lineal Múltiple sobre puntajes continuos.</t>
  </si>
  <si>
    <t>Precisión del  88.89%  en la estimación numérica de puntajes globales.</t>
  </si>
  <si>
    <t>Evaluación de multicolinealidad entre variables de ingresos familiares.</t>
  </si>
  <si>
    <t>Los modelos lineales siguen siendo vigentes para la estimación de puntajes brutos.</t>
  </si>
  <si>
    <t>La facultad debe utilizar regresión lineal como línea base para proyecciones numéricas rápidas.</t>
  </si>
  <si>
    <t>Application of Artificial Neural Networks in EDM</t>
  </si>
  <si>
    <t>Berdugo, E., et al. (Cont.)</t>
  </si>
  <si>
    <t>ANN, Relaciones no lineales, Big Data.</t>
  </si>
  <si>
    <t>Capturar dependencias complejas no lineales en datos de educación superior.</t>
  </si>
  <si>
    <t>Redes Neuronales Artificiales (ANN) con capas ocultas y retropropagación.</t>
  </si>
  <si>
    <t>Alta eficiencia en volúmenes masivos de datos para la predicción del progreso del aprendizaje.</t>
  </si>
  <si>
    <t>Interpretabilidad del modelo (problema de "caja negra").</t>
  </si>
  <si>
    <t>Las ANN superan a modelos estadísticos tradicionales en precisión pura.</t>
  </si>
  <si>
    <t>Implementar ANN es viable para el procesamiento de los datos históricos masivos de la facultad.</t>
  </si>
  <si>
    <t>Hybrid approach for feature selection in academic data</t>
  </si>
  <si>
    <t>Sumi, S., Narayanan, J.</t>
  </si>
  <si>
    <t>Hybrid selection, Wrapper, Filter.</t>
  </si>
  <si>
    <t>Optimizar la selección de características en EDM.</t>
  </si>
  <si>
    <t>Combinación de métodos de filtro y envoltura (wrapper).</t>
  </si>
  <si>
    <t>Precisión del  92.00%  en la selección de características críticas.</t>
  </si>
  <si>
    <t>Costo computacional elevado en datasets de gran escala.</t>
  </si>
  <si>
    <t>Los enfoques híbridos garantizan que solo las variables más influyentes entren al modelo.</t>
  </si>
  <si>
    <t>Se recomienda este enfoque para depurar la base de datos institucional antes de entrenar modelos de alerta temprana.</t>
  </si>
  <si>
    <t>Correlación Saber 11 - Saber Pro en Ingeniería de Sistemas</t>
  </si>
  <si>
    <t>Blanco, A. R. P., Chacón, L. Y. C.</t>
  </si>
  <si>
    <t>Correlación, UNISANGIL, Ingeniería de Sistemas.</t>
  </si>
  <si>
    <t>Determinar la relación entre las dos pruebas en un periodo de 6 años.</t>
  </si>
  <si>
    <t>Análisis estadístico de correlación de Pearson.</t>
  </si>
  <si>
    <t>Correlación significativa detectada; los resultados de Saber 11 predicen consistentemente el rango en Saber Pro.</t>
  </si>
  <si>
    <t>Inclusión de variables socioeconómicas.</t>
  </si>
  <si>
    <t>El éxito académico previo es el mejor predictor lineal del éxito futuro en ingeniería.</t>
  </si>
  <si>
    <t>La facultad debe focalizar los refuerzos en estudiantes con puntajes bajos en Saber 11 desde el primer semestre.</t>
  </si>
  <si>
    <t>Minimum Redundancy Maximum Relevance (mRMR) for EDM</t>
  </si>
  <si>
    <t>Hoque, M., et al. (Basado en Peng et al.)</t>
  </si>
  <si>
    <t>mRMR, Mutual Information, Redundancia.</t>
  </si>
  <si>
    <t>Seleccionar características relevantes minimizando la redundancia interna.</t>
  </si>
  <si>
    <t>Criterio mRMR basado en teoría de información de Shannon.</t>
  </si>
  <si>
    <t>Identificación de interrelaciones ocultas que los modelos estadísticos primarios ignoran.</t>
  </si>
  <si>
    <t>Sensibilidad a la normalización de datos.</t>
  </si>
  <si>
    <t>El mRMR es superior al análisis de correlación simple para variables educativas complejas.</t>
  </si>
  <si>
    <t>Utilizar mRMR permitirá a la facultad identificar variables críticas ocultas en el perfil del estudiante.</t>
  </si>
  <si>
    <t>Filter methods for academic attribute selection</t>
  </si>
  <si>
    <t>Ali, S., et al.</t>
  </si>
  <si>
    <t>2022</t>
  </si>
  <si>
    <t>Info-Gain, CFS, Ranker.</t>
  </si>
  <si>
    <t>Probar la efectividad de filtros estadísticos en la identificación de atributos.</t>
  </si>
  <si>
    <t>Uso de CFS-subset-Eval e Info-Gain con algoritmos de clasificación.</t>
  </si>
  <si>
    <t>Identificación efectiva de variables como el estrato y el nivel educativo de la madre.</t>
  </si>
  <si>
    <t>Ignora interacciones multivariables complejas.</t>
  </si>
  <si>
    <t>Los métodos de filtro son eficientes para la reducción inicial de dimensionalidad.</t>
  </si>
  <si>
    <t>Estos filtros deben ser la primera etapa en el preprocesamiento de datos de la facultad.</t>
  </si>
  <si>
    <t>MI-VIF method for multicollinearity reduction</t>
  </si>
  <si>
    <t>Cheng, J., et al.</t>
  </si>
  <si>
    <t>MI-VIF, Multicolinealidad, Información Mutua.</t>
  </si>
  <si>
    <t>Maximizar la información mutua reduciendo la multicolinealidad.</t>
  </si>
  <si>
    <t>Algoritmo MI-VIF.</t>
  </si>
  <si>
    <t>Resultados prometedores en la reducción de complejidad del modelo sin perder precisión.</t>
  </si>
  <si>
    <t>Complejidad en la implementación algorítmica.</t>
  </si>
  <si>
    <t>Supera la limitación de modelos que incluyen variables altamente correlacionadas.</t>
  </si>
  <si>
    <t>Es una técnica avanzada recomendada para depurar variables socioeconómicas redundantes.</t>
  </si>
  <si>
    <t>Chi-square distributions in complex interaction handling</t>
  </si>
  <si>
    <t>Roy, S., et al.</t>
  </si>
  <si>
    <t>Chi-square, EDM, Interacciones.</t>
  </si>
  <si>
    <t>Manejar interacciones complejas en datos categóricos.</t>
  </si>
  <si>
    <t>Aplicación de distribuciones Chi-cuadrado para selección de características.</t>
  </si>
  <si>
    <t>Mejora en la detección de dependencias en variables con múltiples categorías (alta cardinalidad).</t>
  </si>
  <si>
    <t>Menor efectividad en variables puramente numéricas.</t>
  </si>
  <si>
    <t>Es el estándar para validar dependencias en encuestas socioeconómicas del ICFES.</t>
  </si>
  <si>
    <t>Fundamental para procesar variables como "ocupación de los padres" en la facultad.</t>
  </si>
  <si>
    <t>Impact of Medical Faculties on Saber Pro Results</t>
  </si>
  <si>
    <t>Gil, F. A., et al.</t>
  </si>
  <si>
    <t>2013</t>
  </si>
  <si>
    <t>Medicina, Facultad, Resultados.</t>
  </si>
  <si>
    <t>Analizar el impacto de la facultad sobre el resultado individual.</t>
  </si>
  <si>
    <t>Análisis multinivel.</t>
  </si>
  <si>
    <t>La institución explica una parte significativa de la varianza del puntaje (efecto par).</t>
  </si>
  <si>
    <t>Transpolación a facultades de ingeniería de menor tamaño.</t>
  </si>
  <si>
    <t>El entorno de la facultad es un predictor por sí mismo.</t>
  </si>
  <si>
    <t>La facultad debe reconocerse como un factor que potencia o limita el resultado del estudiante.</t>
  </si>
  <si>
    <t>Calidad de educación superior a distancia vs virtual</t>
  </si>
  <si>
    <t>Rodríguez, G., et al.</t>
  </si>
  <si>
    <t>Virtual, Presencial, Desempeño.</t>
  </si>
  <si>
    <t>Comparar el desempeño académico por modalidad.</t>
  </si>
  <si>
    <t>Análisis comparativo de resultados Saber Pro.</t>
  </si>
  <si>
    <t>Los programas presenciales superan consistentemente a los virtuales en competencias genéricas.</t>
  </si>
  <si>
    <t>Análisis de programas híbridos modernos post-pandemia.</t>
  </si>
  <si>
    <t>La modalidad es un predictor crítico de la calidad del resultado.</t>
  </si>
  <si>
    <t>Se deben reforzar los programas virtuales de la facultad con tutorías sincrónicas adicionales.</t>
  </si>
  <si>
    <t>Patterns in Higher Education (Cohort 2006-2017)</t>
  </si>
  <si>
    <t>Beltrán, L. M. G.</t>
  </si>
  <si>
    <t>EDM, Reconocimiento de Patrones, Acreditación.</t>
  </si>
  <si>
    <t>Hallar patrones de desempeño entre cohortes de largo plazo.</t>
  </si>
  <si>
    <t>Técnicas de Reconocimiento de Patrones y EDM.</t>
  </si>
  <si>
    <t>La acreditación de alta calidad influye positivamente en la mejora de resultados históricos.</t>
  </si>
  <si>
    <t>Control por cambios en la estructura de la prueba (2014/2016).</t>
  </si>
  <si>
    <t>La calidad institucional tiene un efecto acumulativo en el desempeño estudiantil.</t>
  </si>
  <si>
    <t>La inversión en acreditación es también una inversión en la mejora de los scores predictivos de la facultad.</t>
  </si>
  <si>
    <t>Distribution-free Mutual Information Analysis</t>
  </si>
  <si>
    <t>Islam, T., et al.</t>
  </si>
  <si>
    <t>2023</t>
  </si>
  <si>
    <t>Distribution-free, MI, EDM.</t>
  </si>
  <si>
    <t>Analizar datos educativos sin supuestos de normalidad.</t>
  </si>
  <si>
    <t>Métodos de MI que no requieren distribuciones estadísticas estrictas.</t>
  </si>
  <si>
    <t>Mayor robustez en el manejo de datos ruidosos o incompletos del ICFES.</t>
  </si>
  <si>
    <t>Requiere mayor capacidad de cómputo que los modelos lineales.</t>
  </si>
  <si>
    <t>Ideal para la realidad de los datos educativos colombianos, a menudo sesgados.</t>
  </si>
  <si>
    <t>Es el enfoque técnico recomendado para la limpieza de datos en la facultad.</t>
  </si>
  <si>
    <t>Categorical dependency in socioeconomic data</t>
  </si>
  <si>
    <t>Boroumand, S., et al.</t>
  </si>
  <si>
    <t>Dependencia categórica, MI, No linealidad.</t>
  </si>
  <si>
    <t>Detectar dependencias en datos socioeconómicos altamente categóricos.</t>
  </si>
  <si>
    <t>Uso de MI para capturar relaciones no lineales entre categorías de padres y estudiantes.</t>
  </si>
  <si>
    <t>Supera al PCA en la identificación de factores como "acceso a internet" y "estrato".</t>
  </si>
  <si>
    <t>Sensibilidad a categorías con muy pocas muestras.</t>
  </si>
  <si>
    <t>La MI es superior para analizar el impacto de las condiciones de vida sobre el estudio.</t>
  </si>
  <si>
    <t>Esencial para procesar el censo socioeconómico anual de la facultad.</t>
  </si>
  <si>
    <t>Random Forest vs MI Interpretability</t>
  </si>
  <si>
    <t>Schrum, T., et al.</t>
  </si>
  <si>
    <t>RF, MI, Interpretación.</t>
  </si>
  <si>
    <t>Comparar la capacidad de interpretación de modelos de ensamble frente a MI.</t>
  </si>
  <si>
    <t>Evaluación comparativa de importancia de variables.</t>
  </si>
  <si>
    <t>RF es robusto pero MI captura relaciones sutiles que RF puede ignorar en datasets con muchas variables.</t>
  </si>
  <si>
    <t>Unificación de métricas de importancia.</t>
  </si>
  <si>
    <t>La MI sirve como validador de los resultados obtenidos por el Random Forest.</t>
  </si>
  <si>
    <t>Se deben usar ambos métodos en paralelo para validar la jerarquía de predictores en ingeniería.</t>
  </si>
  <si>
    <t>Regional disparities and educational infrastructure</t>
  </si>
  <si>
    <t>Jeon, J., et al.</t>
  </si>
  <si>
    <t>Geografía, Infraestructura, MI.</t>
  </si>
  <si>
    <t>Evaluar el impacto de la ubicación geográfica en el desempeño.</t>
  </si>
  <si>
    <t>Análisis basado en MI de la ubicación de los estudiantes.</t>
  </si>
  <si>
    <t>La ubicación del municipio es un predictor clave debido a las brechas de infraestructura regional.</t>
  </si>
  <si>
    <t>Detalle sobre la calidad de la conexión a internet por zona.</t>
  </si>
  <si>
    <t>El código del municipio de residencia es un factor de peso en el score global.</t>
  </si>
  <si>
    <t>Los estudiantes de zonas rurales requieren un plan de nivelación digital prioritario.</t>
  </si>
  <si>
    <t>Dimensionality reduction in EDM datasets</t>
  </si>
  <si>
    <t>Medina, J., et al.</t>
  </si>
  <si>
    <t>Reducción de dimensionalidad, Redundancia, Saber Pro.</t>
  </si>
  <si>
    <t>Simplificar datasets del ICFES con cientos de variables redundantes.</t>
  </si>
  <si>
    <t>Técnicas de selección de características para mejorar la generalización.</t>
  </si>
  <si>
    <t>Mejora de la precisión al eliminar ruidos estadísticos.</t>
  </si>
  <si>
    <t>Riesgo de eliminar variables con valor pedagógico cualitativo.</t>
  </si>
  <si>
    <t>Menos variables bien seleccionadas producen mejores alertas tempranas.</t>
  </si>
  <si>
    <t>La facultad debe reducir sus indicadores de 108 a menos de 30 para mejorar la interpretabilidad.</t>
  </si>
  <si>
    <t>Feature identification for improved generalization</t>
  </si>
  <si>
    <t>Cote-Ballesteros, J., et al.</t>
  </si>
  <si>
    <t>Generalización, Modelado, Identificación.</t>
  </si>
  <si>
    <t>Asegurar que los modelos funcionen con cohortes nuevas.</t>
  </si>
  <si>
    <t>Identificación de variables significativas antes del modelado.</t>
  </si>
  <si>
    <t>Reducción de costos computacionales y mejora en la interpretabilidad.</t>
  </si>
  <si>
    <t>Ajuste ante cambios en las preguntas de la prueba anual.</t>
  </si>
  <si>
    <t>La etapa de preparación es más crítica que el algoritmo mismo.</t>
  </si>
  <si>
    <t>El equipo técnico de la facultad debe dedicar el 70% del tiempo a la ingeniería de características.</t>
  </si>
  <si>
    <t>Minimum redundancy criteria for academic achievement</t>
  </si>
  <si>
    <t>Peng, H., et al. (Original)</t>
  </si>
  <si>
    <t>2003</t>
  </si>
  <si>
    <t>mRMR, Selección, Shannon.</t>
  </si>
  <si>
    <t>Establecer la base teórica de la selección de características moderna.</t>
  </si>
  <si>
    <t>Uso del criterio mRMR.</t>
  </si>
  <si>
    <t>Selección de variables que aportan información nueva, no solo correlacionada.</t>
  </si>
  <si>
    <t>Implementación nativa en herramientas como WEKA es limitada.</t>
  </si>
  <si>
    <t>Es el estándar de oro para la selección de características no redundantes.</t>
  </si>
  <si>
    <t>Adoptar mRMR evitará que el modelo de la facultad sea redundante con el nivel de ingresos.</t>
  </si>
  <si>
    <t>High cardinality challenges in student data</t>
  </si>
  <si>
    <t>Bhukya, S.</t>
  </si>
  <si>
    <t>Cardinalidad, MI, Encoding.</t>
  </si>
  <si>
    <t>Resolver problemas con variables como "municipio" que tienen cientos de categorías.</t>
  </si>
  <si>
    <t>Enfoques híbridos combinando MI con NMI (Normalized Mutual Information).</t>
  </si>
  <si>
    <t>Equilibrio entre calidad predictiva y costo computacional.</t>
  </si>
  <si>
    <t>Mayor complejidad en la codificación previa.</t>
  </si>
  <si>
    <t>La alta cardinalidad puede sesgar el MI si no se normaliza adecuadamente.</t>
  </si>
  <si>
    <t>Se debe aplicar Binary Encoding a la variable "municipio" para evitar el colapso del modelo.</t>
  </si>
  <si>
    <t>Information Gain vs Mutual Information in EDM</t>
  </si>
  <si>
    <t>Liu, H.</t>
  </si>
  <si>
    <t>2004</t>
  </si>
  <si>
    <t>Info Gain, MI, Criterios.</t>
  </si>
  <si>
    <t>Diferenciar los criterios de selección para árboles de decisión.</t>
  </si>
  <si>
    <t>Comparativa teórica de fundamentos de información.</t>
  </si>
  <si>
    <t>La MI es más robusta para dependencias complejas; Info Gain es más eficiente para divisiones rápidas.</t>
  </si>
  <si>
    <t>Guía práctica para ingenieros de datos.</t>
  </si>
  <si>
    <t>Para alertas tempranas, la MI ofrece una visión más profunda del riesgo.</t>
  </si>
  <si>
    <t>La facultad debe preferir MI para el análisis de factores y Info Gain para la construcción del árbol.</t>
  </si>
  <si>
    <t>Multivariable performance factors in Engineering</t>
  </si>
  <si>
    <t>Roy, S., et al. (Cont.)</t>
  </si>
  <si>
    <t>Multivariable, Desempeño, Factores.</t>
  </si>
  <si>
    <t>Estudiar la interacción de múltiples factores en el resultado de ingeniería.</t>
  </si>
  <si>
    <t>Modelado de interacciones complejas.</t>
  </si>
  <si>
    <t>Factores como "horno micro-gas" y "motocicleta" actúan como proxies de una clase media con mayor tiempo de estudio disponible.</t>
  </si>
  <si>
    <t>Validación en entornos de post-grado.</t>
  </si>
  <si>
    <t>El rendimiento es el resultado de un ecosistema de variables socioeconómicas.</t>
  </si>
  <si>
    <t>No se debe subestimar ninguna variable del dataset del ICFES por extraña que parezca; todas aportan al ensamble.</t>
  </si>
  <si>
    <t>2. CÓMO: ¿Cómo se dio respuesta a la pregunta de investigación? ¿Los métodos son adecuados? ¿El trabajo es reproducible? (materiales y métodos)
Se pegaron tostadas untadas de mermelada</t>
  </si>
  <si>
    <t>Validation Machine Learning Models To Predict Score On Graduate Tests Based On High School Test And Other Factors Case Study Colombia.</t>
  </si>
  <si>
    <t>Autores: Maryori Sabalza Mejia, Carolina Campillo Jimenez, and Juan Carlos Martinez Santos.</t>
  </si>
  <si>
    <t>Año: 2021.</t>
  </si>
  <si>
    <t>Palabras Claves: Early warning system, Education, Machine Learning, Prediction, Reinforcements.</t>
  </si>
  <si>
    <t>POR QUÉ: El propósito es validar modelos que permitan a las universidades implementar sistemas de alerta temprana desde el ingreso del estudiante . Busca que la institución no solo prediga un resultado, sino que pueda ejecutar programas de refuerzo y estudio intenso para mejorar las probabilidades de éxito en el Saber Pro .</t>
  </si>
  <si>
    <t>CÓMO: Se vinculan los resultados del Saber 11 con los del Saber Pro de los mismos estudiantes en un rango de 4 a 5 años . El método es adecuado para un SAT institucional porque utiliza variables socioeconómicas fijas (estrato, educación materna, acceso a computador) que la facultad conoce desde que el estudiante se matricula .</t>
  </si>
  <si>
    <t>QUÉ: El hallazgo principal para el SAT es que un modelo de votación o de Stacking permite identificar con un 80.41% de acierto en qué áreas específicas (como Razonamiento Cuantitativo o Lectura Crítica) debe profundizar la facultad para garantizar buenos resultados . Es coherente concluir que predecir el puntaje permite una intervención focalizada .</t>
  </si>
  <si>
    <t>QUÉ FALTA: La investigación no consideró variables dinámicas como si el estudiante trabaja simultáneamente o su modalidad de estudio (tiempo completo/parcial), lo cual podría refinar la precisión de la alerta .</t>
  </si>
  <si>
    <t>RESUMEN: El estudio demuestra que el uso de antecedentes escolares y factores del hogar permite construir un sistema preventivo robusto. Propone que las facultades usen estas predicciones para diseñar currículos de refuerzo personalizados antes de que el estudiante llegue al final de su carrera.</t>
  </si>
  <si>
    <t>PÁRRAFO: Según Sabalza Mejia et al. (2021), la integración de modelos predictivos en un SAT permite a la Facultad de Ingeniería actuar desde el ingreso del alumno, utilizando un sistema de votación de algoritmos para detectar falencias en competencias genéricas con un 80.41% de confiabilidad . Esto facilita que la decanatura asigne recursos de estudio intenso y refuerzos en áreas críticas, transformando el modelo en una herramienta de gestión proactiva .</t>
  </si>
  <si>
    <t/>
  </si>
  <si>
    <t>Lectura 2 Técnicas de Machine Learning para la predicción del rendimiento académico en las pruebas Saber Pro en Colombia.</t>
  </si>
  <si>
    <t>Autores: Miguel Ángel García Cano.</t>
  </si>
  <si>
    <t>Año: 2024.</t>
  </si>
  <si>
    <t>Palabras Claves: SAT, Toma de decisiones, Rendimiento académico, Retención estudiantil.</t>
  </si>
  <si>
    <t>POR QUÉ: Desarrollar un modelo que identifique a los estudiantes en riesgo de bajo rendimiento para que las instituciones brinden asistencia personalizada y planes de éxito estudiantil . Se diferencia al proponer el SAT como una herramienta de equidad que optimiza los recursos de la universidad .</t>
  </si>
  <si>
    <t>CÓMO: Se define un umbral de riesgo de 149 puntos en el puntaje global . La metodología incluye la configuración técnica del SAT mediante bases de datos institucionales y una interfaz de usuario fácil de usar para que los docentes reciban alertas e informes .</t>
  </si>
  <si>
    <t>QUÉ: Se concluye que la Regresión Logística es la técnica más eficaz para el SAT (90.94% de precisión), ya que clasifica con exactitud quién necesita intervención basada en su género, estrato y educación de los padres . El sistema proactivo identifica desviaciones antes de que se conviertan en fracaso académico .</t>
  </si>
  <si>
    <t>QUÉ FALTA: El autor advierte sobre la necesidad de marcos éticos y de privacidad de datos que no fueron detallados en la implementación técnica, además de no incluir el estado emocional del estudiante .</t>
  </si>
  <si>
    <t>RESUMEN: Este trabajo fundamenta un SAT integral que no solo arroja datos, sino recomendaciones específicas como cursos intersemestrales de cálculos y física para mitigar falencias detectadas . Resalta que la tecnología debe democratizar el acceso al éxito académico mediante proyecciones de desempeño futuro .</t>
  </si>
  <si>
    <t>PÁRRAFO: La investigación de García Cano (2024) propone un SAT basado en un umbral de 149 puntos, el cual utiliza la Regresión Logística para identificar estudiantes en riesgo con una precisión del 90.94% . Para la Facultad de Ingeniería, este sistema sugiere la implementación de cursos intersemestrales de nivelación en áreas de ciencias básicas, permitiendo a la institución optimizar sus recursos y fomentar una cultura de toma de decisiones basada en evidencia de microdatos .</t>
  </si>
  <si>
    <t>Lectura 3 Modelo predictivo del progreso en el aprendizaje de los estudiantes de UNIMINUTO aplicando técnicas de machine learning.</t>
  </si>
  <si>
    <t>Autores: Edilfonso Bautista Cañón y Juan E. Quirama-Salamanca.</t>
  </si>
  <si>
    <t>Palabras Claves: Valor agregado, Progreso del aprendizaje, Intervención temprana, Gestión académica.</t>
  </si>
  <si>
    <t>POR QUÉ: Validar la relación entre las pruebas de entrada (Saber 11) y las de salida para explicar el progreso del aprendizaje o valor agregado . El propósito es permitir que la gestión académico-administrativa realice intervenciones tempranas y focalizadas para cerrar brechas de aprendizaje .</t>
  </si>
  <si>
    <t>CÓMO: Se define el valor agregado como la diferencia entre el resultado obtenido y el esperado según el contexto del estudiante . Se utiliza una ecuación de "Zona de Crecimiento" (Ci&gt;1) para determinar si la institución aportó al aprendizaje por encima de las condiciones iniciales del alumno .</t>
  </si>
  <si>
    <t>QUÉ: Se logró predecir el progreso con un 75% de eficiencia usando Redes Neuronales . Los resultados permiten a la facultad establecer estrategias de mejora continua cada vez que se tenga nueva información institucional como calificaciones de cursos genéricos .</t>
  </si>
  <si>
    <t>QUÉ FALTA: Se recomienda que la universidad realice su propia caracterización al ingreso, ya que el ICFES no vincula eficientemente el 100% de los datos históricos de entrada y salida .</t>
  </si>
  <si>
    <t>RESUMEN: El artículo concluye que el valor agregado es el mejor indicador de la eficiencia de una facultad. Propone un modelo que detecta si el estudiante está creciendo académicamente, permitiendo ajustar los currículos en los semestres donde se detecte estancamiento.</t>
  </si>
  <si>
    <t>PÁRRAFO: De acuerdo con Bautista Cañón et al. (2021), el valor agregado se integra al modelo predictivo mediante el cálculo de la "Zona de Crecimiento", identificando si el estudiante supera las expectativas de su perfil psicosocial . Santiago, este enfoque permite a tu facultad medir su impacto real con una eficiencia del 75%, facilitando que la gestión académica aplique pruebas estándar intermedias (al 25% y 50% de los créditos) para validar y ajustar las estrategias de enseñanza antes del Saber Pro .</t>
  </si>
  <si>
    <t>Lectura 4 Revisión de estrategias basadas en IA, para la predicción y mejora del rendimiento académico estudiantil.</t>
  </si>
  <si>
    <t>Autores: Martha Montero Estrada et al.</t>
  </si>
  <si>
    <t>Año: 2025.</t>
  </si>
  <si>
    <t>Palabras Claves: Estrategias innovadoras, Alerta Cognitiva, Paneles dinámicos, Equidad.</t>
  </si>
  <si>
    <t>POR QUÉ: Analizar cómo la IA optimiza la predicción del rendimiento mediante estrategias innovadoras como sistemas de alerta temprana y tutores virtuales emocionales . Busca superar la ausencia de mecanismos que articulen los datos con acciones pedagógicas concretas .</t>
  </si>
  <si>
    <t>CÓMO: Se propone la estrategia "Alerta Cognitiva Predictiva", que analiza indicadores de asistencia y participación junto con variables socioeconómicas . Los resultados se visualizan en paneles dinámicos para que los docentes diseñen intervenciones diferenciales .</t>
  </si>
  <si>
    <t>QUÉ: Los hallazgos muestran que estos sistemas facilitan la detección de desviaciones antes de que se conviertan en fracaso escolar . La integración de la IA no se limita a la estadística, sino que posibilita una retroalimentación inmediata y apoyo a la toma de decisiones pedagógicas .</t>
  </si>
  <si>
    <t>QUÉ FALTA: Persisten desafíos en la formación docente para el uso de analítica del aprendizaje y la necesidad de marcos éticos para evitar sesgos algorítmicos .</t>
  </si>
  <si>
    <t>RESUMEN: La revisión destaca que la IA es un aliado pedagógico estratégico. Los sistemas de alerta temprana no solo identifican riesgos, sino que potencian la resiliencia académica y favorecen un acceso equitativo a oportunidades formativas mediante diagnósticos integrales.</t>
  </si>
  <si>
    <t>PÁRRAFO: Según Montero Estrada et al. (2025), un SAT efectivo debe basarse en una "Alerta Cognitiva Predictiva" visualizada en paneles dinámicos, permitiendo a los docentes de ingeniería detectar desviaciones en tiempo real . Santiago, este modelo integra la analítica del aprendizaje para ofrecer retroalimentación inmediata, lo que potencia la resiliencia de los estudiantes y asegura que el diagnóstico integral guíe acciones prevent</t>
  </si>
  <si>
    <t>Valor agregado: una herramienta para la política educativa.</t>
  </si>
  <si>
    <t>Autores: Alexander Villegas Mendoza.</t>
  </si>
  <si>
    <t>Palabras Claves: NBC, Efectos aleatorios, Guía de política, Calidad educativa.</t>
  </si>
  <si>
    <t>POR QUÉ: Examinar cómo las estimaciones de valor agregado ofrecen una guía de política educativa más informativa que los simples promedios, los cuales suelen ignorar el trasfondo familiar del estudiante . Busca identificar la contribución neta de las IES al logro educativo .</t>
  </si>
  <si>
    <t>CÓMO: Se emplea un enfoque multinivel de efectos aleatorios, donde el nivel 1 es el estudiante y el nivel 2 es el programa o Núcleo Básico del Conocimiento (NBC) . Se calcula el parámetro u 0j que identifica cuánto se desvió el aporte de un programa particular respecto al promedio general de su área .</t>
  </si>
  <si>
    <t>QUÉ: Los hallazgos sugieren que las características del estudiante explican mucha variabilidad, pero los modelos de valor agregado permiten reubicar a facultades en rankings de calidad basándose en su aporte real y no solo en los puntajes de entrada de sus alumnos .</t>
  </si>
  <si>
    <t>QUÉ FALTA: El estudio reconoce que es difícil aislar completamente el efecto institucional de factores externos no observables en las bases de datos masivas .</t>
  </si>
  <si>
    <t>RESUMEN: La investigación valida el valor agregado como la medida más justa de la calidad educativa. Concluye que los modelos multinivel son preferidos por investigadores porque reconocen que el aprendizaje ocurre en grupos y permiten medir qué tanto consolida una facultad las competencias con las que ingresaron sus estudiantes.</t>
  </si>
  <si>
    <t>PÁRRAFO: El trabajo de Villegas Mendoza (2025) fundamenta que para medir el "valor agregado" en Ingeniería, se debe aplicar un modelo multinivel de efectos aleatorios . Santiago, esto permite a tu facultad cuantificar científicamente su aporte particular (u 0j ), aislando la influencia de los antecedentes socioeconómicos y demostrando qué tanto progresa un estudiante en comparación con sus pares de programas similares a nivel nacional .</t>
  </si>
  <si>
    <t>Lectura 6Analítica de datos aplicada al contexto universitario. Caso de estudio: pruebas Saber Pro.</t>
  </si>
  <si>
    <t>Autores: Rengifo J., S., Sánchez C., C. D., Delgado C., C. F., Solarte C., C. O., Vidal F., F. A., &amp; Timarán R., R.</t>
  </si>
  <si>
    <t>Año: 2019.</t>
  </si>
  <si>
    <t>Palabras Claves: Analítica de datos, Toma de decisiones, Ingeniería de Sistemas, Patrones de rendimiento.</t>
  </si>
  <si>
    <t>POR QUÉ: El propósito es identificar patrones de rendimiento académico en estudiantes de ingeniería de sistemas y computación para generar información de calidad que permita a los directivos tomar decisiones efectivas . Se relaciona con la necesidad de formular planes y proyectos institucionales conducentes a mejorar la calidad de la educación impartida en estos programas específicos .</t>
  </si>
  <si>
    <t>CÓMO: Se utilizó la metodología CRISP-DM analizando registros de 2015 a 2017 . Se aplicaron técnicas descriptivas de minería de datos como el Algoritmo Apriori para reglas de asociación y K-means para clustering, utilizando la herramienta WEKA . El trabajo es reproducible al detallar la limpieza de 73 atributos y la parametrización de confianza mínima de 0.7 .</t>
  </si>
  <si>
    <t>QUÉ: Los hallazgos muestran que el conocimiento generado sirve como soporte para que las IES tomen decisiones estratégicas . Se descubrió que la acreditación de los programas es vital, pues el 94.57% de los programas acreditados en ciertas regiones superan la media nacional . Las conclusiones son coherentes, vinculando factores como la presencialidad y el acceso a internet con el éxito académico .</t>
  </si>
  <si>
    <t>QUÉ FALTA: Los autores mencionan que no se tuvieron en cuenta las "verdaderas interrelaciones" ocultas que solo un tratamiento más complejo de minería de datos podría descubrir, y que los resultados se limitan a carreras afines a la informática .</t>
  </si>
  <si>
    <t>RESUMEN: La investigación valida que la analítica de datos es una herramienta de gestión para las facultades de ingeniería. Al segmentar a los estudiantes en clústeres de desempeño, los directivos pueden identificar qué perfiles sociodemográficos necesitan mayor apoyo institucional antes de presentar las pruebas de Estado.</t>
  </si>
  <si>
    <t>PÁRRAFO: Santiago, según Rengifo et al. (2019), la integración de tu modelo predictivo en la Facultad de Ingeniería debe servir como un soporte de decisiones estratégicas para la decanatura . El uso de reglas de asociación permite identificar que variables como la acreditación del programa y la modalidad presencial aseguran un desempeño sobre la media en el 94% de los casos, lo que te permite proponer un SAT que no solo de números, sino que oriente políticas de calidad educativa .</t>
  </si>
  <si>
    <t>Lectura 7 Análisis del rendimiento académico a partir de un modelo de regresión logística binaria.</t>
  </si>
  <si>
    <t>Autores: Pérez, M., Mejía, O., Serrano, C., Suescún-Garcés, S., Mogollón-Alaguna, O., &amp; León, F.</t>
  </si>
  <si>
    <t>Año: 2023.</t>
  </si>
  <si>
    <t>Palabras Claves: SAT, Regresión logística, Riesgo académico, Intervención.</t>
  </si>
  <si>
    <t>POR QUÉ: El propósito es analizar factores que afectan el rendimiento para fundamentar un Sistema de Alerta Temprana (SAT) que diagnostique y brinde apoyo individualizado . Busca prevenir el bajo rendimiento académico desde el ingreso mediante la identificación proactiva de estudiantes en riesgo .</t>
  </si>
  <si>
    <t>CÓMO: Se empleó la Regresión Logística Binaria para evaluar la probabilidad de que un estudiante logre un promedio alto (GPA &gt; 3.8) o caiga en riesgo . Se integraron variables como el desempeño en lectura crítica y matemáticas de pruebas previas . El método es reproducible al detallar el uso de la prueba de Hosmer-Lemeshow para validar el ajuste del modelo .</t>
  </si>
  <si>
    <t>QUÉ: Los hallazgos confirman que el desempeño previo en matemáticas es un protector significativo del éxito académico (Exp(B)=2.12) . El modelo clasificó correctamente al 77.3% de los casos en promedio . Es coherente concluir que el SAT permite realizar intervenciones pedagógicas basadas en el perfil de ingreso .</t>
  </si>
  <si>
    <t>QUÉ FALTA: El estudio señala que es necesario ajustar el modelo con variables que proporcionen un complemento psicológico o emocional, ya que el AUC de 0.739 indica que el modelo es explicativo pero requiere más variables para una predicción perfecta .</t>
  </si>
  <si>
    <t>RESUMEN: El trabajo propone un SAT operativo donde la regresión logística actúa como el "motor" que dispara las alertas. Resalta que las bases académicas con las que el estudiante llega a ingeniería son el predictor más fuerte de su permanencia y éxito, permitiendo a la facultad asignar tutores a quienes no superan los umbrales de competencia en matemáticas.</t>
  </si>
  <si>
    <t>PÁRRAFO: Santiago, el estudio de Pérez et al. (2023) es la base técnica para tu SAT, demostrando que la Regresión Logística Binaria es capaz de clasificar estudiantes en riesgo con una precisión del 77.3% . Para tu facultad de Ingeniería, esto implica que el modelo debe priorizar los resultados de matemáticas del Saber 11, ya que estos actúan como el factor protector más fuerte para evitar el bajo desempeño en la universidad .</t>
  </si>
  <si>
    <t>Lectura 8 Propuesta metodológica para la medición de valor agregado UDEC.</t>
  </si>
  <si>
    <t>Autores: Universidad de Cundinamarca (UDEC).</t>
  </si>
  <si>
    <t>Palabras Claves: Valor agregado, Modelos multinivel, Machine Learning, Gestión académica.</t>
  </si>
  <si>
    <t>POR QUÉ: Desarrollar una metodología institucional para medir el valor agregado (VA) entendido como el aporte de la universidad al progreso del aprendizaje . Se diferencia al buscar superar los rankings tradicionales mediante indicadores que controlen el logro previo y el trasfondo socioeconómico .</t>
  </si>
  <si>
    <t>CÓMO: Se comparan modelos de efectos fijos y aleatorios (multinivel), donde el VA se define como el residual promedio del puntaje alcanzado (VAj=promedio[yij(2)− y ^ij(2)]) . Se aplicaron algoritmos de SVM y Redes Neuronales para clasificar estudiantes en "zonas de crecimiento" (Ci&gt;1) .</t>
  </si>
  <si>
    <t>QUÉ: Los hallazgos en Ingeniería muestran que la variabilidad entre sedes es baja (ICC=0.000), lo que indica que el rendimiento depende casi totalmente de las características individuales y el aporte académico directo del programa . Se identificó que factores como la capacitación para el examen aportan significativamente al VA .</t>
  </si>
  <si>
    <t>QUÉ FALTA: Se recomienda profundizar en modelos que incluyan variables de infraestructura física y recursos de cómputo más detallados para explicar la probabilidad de crecimiento .</t>
  </si>
  <si>
    <t>RESUMEN: Esta fuente es el manual de referencia para tu medición de Valor Agregado. Define que una Facultad de Ingeniería exitosa no es la que tiene los mejores puntajes, sino la que logra que sus estudiantes superen significativamente lo que se esperaba de ellos según su Saber 11, utilizando el "crecimiento" (Ci) como métrica de calidad.</t>
  </si>
  <si>
    <t>PÁRRAFO: Santiago, para medir el "valor agregado" en tu proyecto, la UCundinamarca (2019) recomienda el uso de modelos multinivel de efectos aleatorios . Al aplicar la ecuación de "Zona de Crecimiento" (Ci&gt;1), podrás demostrar si la Facultad de Ingeniería está potenciando las habilidades de los estudiantes por encima de sus condiciones iniciales, permitiendo a la gestión académico-administrativa realizar intervenciones tempranas y cerrar brechas de aprendizaje .</t>
  </si>
  <si>
    <t>Lectura 9 Using Decision Trees to Predict Critical Reading Performance.</t>
  </si>
  <si>
    <t>Autores: Andrea Timarán-Buchely, Silvio-Ricardo Timarán-Pereira y Arsenio Hidalgo-Troya.</t>
  </si>
  <si>
    <t>Palabras Claves: Calidad educativa, Toma de decisiones, J48, Ingeniería.</t>
  </si>
  <si>
    <t>POR QUÉ: El propósito es predecir el desempeño en competencias genéricas para subsidiar la toma de decisiones de las directrices universitarias con el fin de mejorar la calidad de la educación superior . Se enfoca en cómo la analítica puede orientar ajustes curriculares específicos .</t>
  </si>
  <si>
    <t>CÓMO: Se empleó el algoritmo J48 de la herramienta Weka utilizando validación cruzada de 10 pliegues . Se analizó un repositorio con 101 atributos iniciales, integrando datos socioeconómicos y académicos del ICFES . Es reproducible al detallar la estructura del árbol y el costo del clasificador mediante matrices de confusión .</t>
  </si>
  <si>
    <t>QUÉ: Los hallazgos sitúan a la pertenencia a la facultad de ingeniería como una variable predictiva positiva para estar sobre la media nacional . Se identificó que la educación de la madre es una variable crítica relacionada con el buen desempeño de los estudiantes de ingeniería .</t>
  </si>
  <si>
    <t>QUÉ FALTA: El estudio se limita a la competencia de Lectura Crítica surge la necesidad de replicar el modelo para Razonamiento Cuantitativo y otras áreas específicas de ingeniería para tener un SAT integral .</t>
  </si>
  <si>
    <t>RESUMEN: El artículo demuestra que los árboles de decisión son herramientas de comunicación efectiva para los directivos. Al predecir qué grupos de la facultad tendrán bajo desempeño, se genera información de calidad para que la universidad intervenga antes de que los estudiantes terminen su ciclo profesional.</t>
  </si>
  <si>
    <t xml:space="preserve">PÁRRAFO (ENTREGABLE): Según Timarán-Buchely et al. (2021), la integración de tu modelo en un SAT permitirá a la Facultad de Ingeniería generar información de calidad para subsidiar decisiones de mejora curricular
. El uso del algoritmo J48 revela que ser estudiante de ingeniería es un predictor de éxito, pero también señala que factores externos como la educación materna deben monitorearse para identificar a los subgrupos que requieren mayor acompañamiento institucional
</t>
  </si>
  <si>
    <t>Lectura 10 A model for predicting academic performance on standardised tests for lagging regions based on machine learning and Shapley additive explanations.</t>
  </si>
  <si>
    <t>Autores: Mario Suaza-Medina, Rita Peñabaena-Niebles y Maria Jubiz-Diaz.</t>
  </si>
  <si>
    <t>Palabras Claves: Valor agregado, SHAP, Desempeño académico, Regiones rezagadas.</t>
  </si>
  <si>
    <t>POR QUÉ: El propósito es analizar resultados de pruebas estandarizadas (Saber 11) para medir el valor agregado que la institución tiene en la formación de los estudiantes . Busca identificar qué variables influyen en el desempeño en regiones rezagadas para orientar intervenciones de equidad .</t>
  </si>
  <si>
    <t>CÓMO: Adaptación de la metodología CRISP-DM . Se utilizaron técnicas de explicabilidad como SHAP (Shapley Additive Explanations) para entender cómo cada variable socioeconómica aporta o resta al puntaje final, permitiendo una interpretación más profunda que los modelos de "caja negra" tradicionales .</t>
  </si>
  <si>
    <t>QUÉ: Los hallazgos muestran que el modelo permite caracterizar el rendimiento académico midiendo las competencias esenciales necesarias para ingresar y progresar en la educación superior . Se determinó que los modelos de Machine Learning superan en exactitud a las caracterizaciones demográficas simples .</t>
  </si>
  <si>
    <t>QUÉ FALTA: La investigación se enfoca en el ingreso (Saber 11) surge la pregunta de cómo se articulan estas explicaciones SHAP cuando el estudiante ya está en semestres avanzados de ingeniería y se enfrenta al Saber Pro .</t>
  </si>
  <si>
    <t>RESUMEN: Este trabajo aporta la técnica SHAP a tu proyecto. No basta con decir quién está en riesgo herramientas como SHAP explican por qué están en riesgo (ej: falta de internet o bajos ingresos), lo cual es el cimiento de un SAT que proponga soluciones concretas y no solo diagnósticos.</t>
  </si>
  <si>
    <t>PÁRRAFO: el trabajo de Suaza-Medina et al. (2024) fundamenta que tu modelo predictivo debe medir el "valor agregado" institucional como un indicador de la calidad de la formación . Al integrar técnicas de explicabilidad (SHAP), tu SAT no solo detectará estudiantes en riesgo, sino que permitirá a la Facultad de Ingeniería entender la influencia exacta de cada factor socioeconómico en el rendimiento, facilitando una política de equidad basada en microdatos reales .</t>
  </si>
  <si>
    <t>Lectura 11 Mutual information-driven feature selection for Saber Pro test analysis: identifying key socioeconomic and academic predictors of student performance.</t>
  </si>
  <si>
    <t>Autores: Orozco Morales, N., Valderrama Garcia, L., Martínez, J. S., &amp; Rincón Guio, C.</t>
  </si>
  <si>
    <t>Palabras Claves: Artificial intelligence, Academic performance, Feature selection, Mutual information.</t>
  </si>
  <si>
    <t>POR QUÉ: El propósito es identificar las variables socioeconómicas y académicas con mayor influencia en el éxito académico para optimizar modelos de IA . Se diferencia por proponer la Información Mutua (MI) como técnica para capturar dependencias no lineales que los métodos estadísticos tradicionales ignoran, lo cual es vital para que un SAT sea preciso y no genere falsas alarmas .</t>
  </si>
  <si>
    <t>CÓMO: Se procesaron 413,133 registros nacionales (2021-2023) mediante bibliotecas de Python como Pandas y Numpy . Se aplicó el método mutual_info_classif para rankear variables como la modalidad de estudio y el departamento de residencia . El trabajo es reproducible al detallar la codificación binaria de los datos categóricos .</t>
  </si>
  <si>
    <t>QUÉ: Los hallazgos revelan que el código SNIES del programa y la ubicación geográfica son los predictores con mayor puntuación de información mutua respecto al éxito académico . Las conclusiones son coherentes al demostrar que la selección inteligente de variables reduce la complejidad del modelo y mejora la efectividad del SAT .</t>
  </si>
  <si>
    <t>QUÉ FALTA: El estudio se limitó a microdatos del ICFES surge la pregunta de si integrar variables de comportamiento en plataformas virtuales (LMS) aumentaría la capacidad predictiva del sistema .</t>
  </si>
  <si>
    <t>RESUMEN: La investigación valida que para que un SAT sea robusto en ingeniería, no basta con mirar el promedio. El uso de Información Mutua permite entender que factores como trabajar más de 30 horas semanales tienen una relevancia matemática crítica que debe ser monitoreada por la facultad para prevenir el bajo desempeño.</t>
  </si>
  <si>
    <t>PÁRRAFO: Santiago, según Orozco Morales et al. (2025), tu SAT debe integrar la técnica de Información Mutua (MI) para priorizar variables no lineales como la dedicación laboral de más de 30 horas y el código SNIES del programa . Esto permite a la Facultad de Ingeniería filtrar el ruido de los datos y centrar sus alertas en los factores que realmente determinan si un estudiante superará o no la media nacional .</t>
  </si>
  <si>
    <t>Lectura 12 Saber Pro success prediction model using decision tree based learning.</t>
  </si>
  <si>
    <t>Autores: Gregorio Perez Bernal, Luisa Toro Villegas &amp; Mauricio Toro.</t>
  </si>
  <si>
    <t>Año: 2020.</t>
  </si>
  <si>
    <t>Palabras Claves: Machine learning, Decision trees, CART, Saber Pro.</t>
  </si>
  <si>
    <t>POR QUÉ: El propósito es determinar qué factores influyen en las tasas de éxito de los estudiantes colombianos comparando sus resultados con el promedio nacional . Busca proporcionar herramientas para que las universidades decidan a qué áreas del currículo dar más intensidad y a quiénes asignar becas de excelencia .</t>
  </si>
  <si>
    <t>CÓMO: Se implementó un algoritmo de árbol de decisión CART para predecir la probabilidad de obtener un puntaje superior a la media . Se analizaron variables como la profesión de los padres y resultados del Saber 11 . El método es reproducible al describir la discretización de la clase basada en el promedio nacional .</t>
  </si>
  <si>
    <t>QUÉ: El hallazgo principal es que el resultado de Ciencias Sociales en Saber 11 es uno de los factores más influyentes para el éxito en Saber Pro . Se concluyó que el género no es tan determinante como se cree usualmente, lo que permite un SAT más equitativo .</t>
  </si>
  <si>
    <t>QUÉ FALTA: El autor menciona que el modelo podría expandirse para analizar específicamente los niveles de deserción como la cara opuesta del éxito académico .</t>
  </si>
  <si>
    <t>RESUMEN: El estudio demuestra que los árboles de decisión son ideales para un SAT institucional porque generan reglas fáciles de interpretar por los directivos. Destaca que la interpretación clara de las ramas permite asignar recursos de manera focalizada.</t>
  </si>
  <si>
    <t>PÁRRAFO: Según Perez Bernal et al. (2020), el modelo CART aplicado al Saber Pro permite identificar que el desempeño en Ciencias Sociales del Saber 11 es un predictor clave del éxito académico . Esto facilita que la Facultad de Ingeniería diseñe políticas de becas y refuerzos en áreas específicas, garantizando un SAT equitativo y transparente .</t>
  </si>
  <si>
    <t>Lectura 13 Análisis de la acreditación de calidad en programas de ingeniería industrial y los resultados en las pruebas nacionales estandarizadas, en Colombia.</t>
  </si>
  <si>
    <t>Autores: Enrique J. Delahoz-Domínguez, Sergio Andres Guillen Ibarra &amp; Tomás José Fontalvo Herrera.</t>
  </si>
  <si>
    <t>Palabras Claves: Ingeniería Industrial, Acreditación de calidad, Valor agregado, PCA.</t>
  </si>
  <si>
    <t>POR QUÉ: Presentar un análisis relacional entre la acreditación de alta calidad y el desempeño estudiantil en ingeniería industrial . El propósito es validar si las políticas de acreditación nacional realmente generan un valor agregado medible en las competencias genéricas de los futuros ingenieros .</t>
  </si>
  <si>
    <t>CÓMO: Se utilizó el Análisis de Componentes Principales (PCA) para agrupar universidades y modelos de aprendizaje supervisado para clasificar la calidad institucional . Se procesaron microdatos del ICFES centrados en ingeniería. Es reproducible al basarse en estándares de acreditación del MEN .</t>
  </si>
  <si>
    <t>QUÉ: Los hallazgos confirman que las instituciones acreditadas tienen estudiantes con mejor desempeño, especialmente en Comunicación Escrita, la cual actúa como una variable diferenciadora de la calidad educativa . Es coherente concluir que la acreditación es un predictor del éxito institucional.</t>
  </si>
  <si>
    <t>QUÉ FALTA: Surge la necesidad de investigar cómo factores internos como la remuneración docente y la inversión en laboratorios (infraestructura) median esta relación de valor agregado .</t>
  </si>
  <si>
    <t>RESUMEN: Este trabajo vincula la gestión administrativa con los resultados académicos. Concluye que el valor agregado de una facultad de ingeniería se refleja en la capacidad de sus egresados para redactar y comunicarse de forma efectiva, competencias que suelen ser menos priorizadas que el cálculo pero que definen a un programa de alta calidad.</t>
  </si>
  <si>
    <t>PÁRRAFO: De acuerdo con Delahoz-Domínguez et al. (2020), el "valor agregado" aportado por tu institución debe medirse en función de la acreditación de alta calidad, la cual impacta significativamente en competencias genéricas . Santiago, para tu proyecto, esto implica que el modelo debe considerar el estatus de acreditación como un factor protector que potencia especialmente la comunicación escrita en los estudiantes de ingeniería .</t>
  </si>
  <si>
    <t>Lectura 14 Predicción rendimiento estudiantes pruebas saber pro en pandemia junto con las características socioeconómicas.</t>
  </si>
  <si>
    <t>Autores: Sebastian Camilo Vanegas-Ayala, Daniel David Leal-Lara y Julio Barón-Velandia.</t>
  </si>
  <si>
    <t>Año: 2022.</t>
  </si>
  <si>
    <t>Palabras Claves: COVID-19, CRISP-DM, Redes Neuronales, SAT.</t>
  </si>
  <si>
    <t>POR QUÉ: Proporcionar una visión de las variables que predicen el rendimiento en tiempos de crisis (COVID-19) . Busca que la facultad entienda cómo factores como la virtualidad y el entorno del hogar alteraron la precisión de los modelos de alerta tradicionales .</t>
  </si>
  <si>
    <t>CÓMO: Aplicación de la metodología CRISP-DM con algoritmos de Redes Neuronales y Regresión . Se seleccionaron 28 atributos, incluyendo el estrato y el acceso a internet . El trabajo es reproducible al detallar el uso del algoritmo RReliefF para la importancia de variables .</t>
  </si>
  <si>
    <t>QUÉ: Se determinó que la acreditación de alta calidad y la capacitación para el examen siguieron siendo predictores estables incluso en pandemia . Las redes neuronales demostraron ser más capaces de capturar la variabilidad del rendimiento bajo estrés ambiental .</t>
  </si>
  <si>
    <t>QUÉ FALTA: No se integraron variables sobre la salud mental o el estado de ánimo de los estudiantes durante el confinamiento, lo cual es un factor de riesgo en un SAT moderno .</t>
  </si>
  <si>
    <t>RESUMEN: El estudio concluye que las crisis externas obligan a los SAT a ser más dinámicos. Valida que para ingeniería, el soporte tecnológico y la trayectoria de calidad de la institución son los mejores "escudos" contra el bajo desempeño en situaciones extraordinarias.</t>
  </si>
  <si>
    <t>PÁRRAFO: Santiago, el trabajo de Vanegas-Ayala et al. (2022) resalta que para un SAT resiliente en la Facultad de Ingeniería, debes priorizar variables como la capacitación previa para el examen y el nivel de acreditación institucional . Estos factores demostraron ser los predictores más robustos durante la pandemia, permitiendo que el modelo identifique estudiantes en riesgo incluso cuando las condiciones socioeconómicas del hogar se vuelven inestables .</t>
  </si>
  <si>
    <t>Lectura 15 Construcción de un modelo para predecir el rendimiento académico de los estudiantes de ingeniería electrónica de la universidad distrital...</t>
  </si>
  <si>
    <t>Autores: Karen Tatiana González Rojas.</t>
  </si>
  <si>
    <t>Palabras Claves: Ingeniería electrónica, Redes neuronales, Prueba académica, SAT.</t>
  </si>
  <si>
    <t>POR QUÉ: Desarrollar un modelo que anticipe si un estudiante caerá en estado de "Prueba Académica" (riesgo de expulsión) basado en su historial . Se diferencia por utilizar datos internos de la permanencia universitaria, no solo pruebas externas, para crear una alerta semestral operativa .</t>
  </si>
  <si>
    <t>CÓMO: Se entrenaron redes neuronales MLP utilizando variables calculadas como materias repetidas y créditos aprobados . Se utilizó una función lógica para calcular el Estado de Prueba Académica (EPA) por semestre . Es reproducible al detallar la arquitectura de 4 capas ocultas utilizada .</t>
  </si>
  <si>
    <t>QUÉ: Los hallazgos muestran que en los semestres intermedios de ingeniería, materias como Física 1 y Programación Básica son los predictores más críticos de riesgo académico . El modelo permite una detección temprana con una precisión del 72% para evitar la deserción .</t>
  </si>
  <si>
    <t>QUÉ FALTA: El estudio señala que fue difícil predecir el fracaso absoluto. el sistema es mejor detectando a quienes tendrán éxito o están en riesgo moderado .</t>
  </si>
  <si>
    <t>RESUMEN: Esta tesis doctoral es el corazón de un SAT operativo. Concluye que para ingeniería, el monitoreo debe ser continuo: una alerta disparada por perder Física 1 es más efectiva para salvar a un estudiante que una predicción hecha meses antes del Saber Pro sin mirar las notas internas.</t>
  </si>
  <si>
    <t>PÁRRAFO: Según la investigación de González Rojas (2020), tu SAT debe integrar variables de la trayectoria universitaria como el desempeño en Física 1 y Programación, ya que son los indicadores con mayor influencia en el riesgo académico de ingeniería . Santiago, esto te permite proponer un sistema que no solo prediga el puntaje final, sino que dispare alertas semestrales basadas en materias críticas para realizar intervenciones pedagógicas oportunas antes del examen de Estado .</t>
  </si>
  <si>
    <t>Lectura 16 Pruebas Saber Pro y Saber 11: Análisis de correlaciones aplicado a programas de ingeniería.</t>
  </si>
  <si>
    <t>Autores: David Alberto García Arango, Marco Aurelio Mejía Cardona &amp; César Felipe Henao Villa.</t>
  </si>
  <si>
    <t>Palabras Claves: Valor agregado, Correlación, Análisis Factorial, Ingeniería de Sistemas.</t>
  </si>
  <si>
    <t>POR QUÉ: Identificar correlaciones entre variables sociodemográficas y resultados académicos para consolidar políticas de desarrollo curricular en ingeniería . El propósito es fundamentar científicamente el concepto de valor agregado mediante la articulación de los resultados de entrada (Saber 11) y salida (Saber Pro) .</t>
  </si>
  <si>
    <t>CÓMO: Diseño longitudinal analizando aplicaciones desde 2012 hasta 2019 mediante el software SPSS . Se aplicó el análisis factorial con rotación Varimax para agrupar variables y diagramas de dispersión por cuadrantes para visualizar el progreso .</t>
  </si>
  <si>
    <t>QUÉ: Los hallazgos para Ingeniería de Sistemas muestran la existencia de un valor agregado real: estudiantes que ingresaron con bajos puntajes en Saber 11 lograron superar el promedio nacional en Saber Pro gracias a la formación del programa . Se identificaron "conjuntos de variables" que inciden sistemáticamente en este salto diferencial .</t>
  </si>
  <si>
    <t>QUÉ FALTA: Los autores sugieren profundizar en un análisis cualitativo que explique qué estrategias pedagógicas específicas dentro del aula disparan este valor agregado .</t>
  </si>
  <si>
    <t>RESUMEN: El estudio valida que el éxito de una facultad de ingeniería se mide en el "salto" que da el estudiante. Utiliza visualizaciones de cuadrantes para demostrar que el programa académico puede compensar deficiencias iniciales, lo cual es la prueba máxima del aporte institucional a la sociedad.</t>
  </si>
  <si>
    <t>PÁRRAFO: El trabajo de García Arango et al. (2021) es fundamental para medir el "valor agregado" en tu facultad, demostrando que programas como Ingeniería de Sistemas logran que estudiantes con bases débiles superen el promedio nacional . Santiago, esto justifica que tu modelo predictivo incluya un análisis de cuadrantes para demostrarle a la decanatura cómo la formación interna está cerrando las brechas académicas con las que ingresan los estudiantes .</t>
  </si>
  <si>
    <t>Lectura 17 Factores que influyen en el desempeño de estudiantes de Ciencias Económicas en Saber Pro.</t>
  </si>
  <si>
    <t>Autores: Yudy Alexandra Molina-Hurtado, Alex Mauricio Rodríguez &amp; Carlos Andrés Sánchez-Becerra.</t>
  </si>
  <si>
    <t>Año: 2026.</t>
  </si>
  <si>
    <t>Palabras Claves: Árbol de regresión, RMSE, SHAP, Equidad.</t>
  </si>
  <si>
    <t>POR QUÉ: Identificar factores que inciden en el desempeño mediante la metodología CRISP-DM para establecer mecanismos de equidad en la educación superior . Busca superar las limitaciones de los promedios simples mediante modelos que expliquen la desviación de los puntajes .</t>
  </si>
  <si>
    <t>CÓMO: Se utilizó un modelo de Árbol de Decisión Regresor entrenado en Python . Se evaluó la precisión mediante el RMSE y se interpretó la importancia de las variables mediante valores SHAP . Es reproducible al detallar las fases de preparación y normalización de las 109 variables iniciales .</t>
  </si>
  <si>
    <t>QUÉ: Los hallazgos revelan que el costo de la matrícula (superior a 7 millones) y la modalidad presencial son los predictores más potentes de altos puntajes . Se demostró que la modalidad a distancia se asocia con un menor desempeño promedio, lo que es una alerta crítica para la gestión académica .</t>
  </si>
  <si>
    <t>QUÉ FALTA: El estudio menciona que hace falta considerar factores cualitativos individuales, como el tiempo de estudio autónomo fuera del aula .</t>
  </si>
  <si>
    <t>RESUMEN: La investigación aporta herramientas de transparencia. Concluye que un SAT debe informar a la institución sobre las brechas de calidad entre sus diferentes modalidades (presencial vs. virtual), permitiendo una redistribución de recursos para mejorar el valor agregado en los grupos más rezagados.</t>
  </si>
  <si>
    <t>PÁRRAFO:  según Molina-Hurtado et al. (2026), tu modelo debe utilizar la técnica SHAP para explicar a la Facultad de Ingeniería qué factores externos, como el costo de matrícula o la modalidad, están afectando el rendimiento . Esto permite que el SAT no solo arroje un riesgo, sino una explicación científica de por qué existe una brecha de calidad, facilitando políticas de equidad interna basadas en datos .</t>
  </si>
  <si>
    <t>Lectura 18 Minería de datos educativos: Análisis del desempeño de estudiantes de ingeniería en las pruebas SABER-PRO.</t>
  </si>
  <si>
    <t>Autores: Ana Isabel Oviedo Carrascal y Jovanny Jiménez Giraldo.</t>
  </si>
  <si>
    <t>Palabras Claves: Minería de datos, KNN, Clustering, Ingeniería.</t>
  </si>
  <si>
    <t>POR QUÉ: Anticipar el resultado en las pruebas Saber Pro mediante el algoritmo KNN para que los directivos tomen decisiones efectivas sobre planes de mejoramiento . Busca segmentar a la población de ingeniería en clústeres de desempeño para entender las causas del bajo rendimiento .</t>
  </si>
  <si>
    <t>CÓMO: Se aplicó un sistema de votación de 4 métodos (PCA, árboles, correlaciones y reglas) para seleccionar factores . Se utilizó K-means para el perfilamiento de clústeres y KNN para la predicción con validación cruzada . Es reproducible al detallar el uso de la herramienta WEKA y el balanceo de muestras .</t>
  </si>
  <si>
    <t>QUÉ: Se logró predecir el desempeño con una exactitud del 81% . Se identificó que el carácter académico de la institución (ser Universidad vs. Técnica) y tener personas a cargo son factores determinantes en ingeniería . El área ROC de 0.87 valida la confiabilidad del sistema para un SAT .</t>
  </si>
  <si>
    <t>QUÉ FALTA: Los autores proponen como trabajo futuro realizar un estudio histórico para ver si las intervenciones del Ministerio han tenido efecto en la población de ingeniería .</t>
  </si>
  <si>
    <t>RESUMEN: El trabajo es una guía maestra para ingeniería. Concluye que el algoritmo KNN es altamente confiable para anticipar quiénes estarán en los percentiles más bajos, permitiendo a la facultad actuar sobre variables como el método de enseñanza antes de que se presenten las pruebas reales.</t>
  </si>
  <si>
    <t>PÁRRAFO: la investigación de Oviedo y Jiménez (2019) valida que el algoritmo KNN alcanza una exactitud del 81% en la Facultad de Ingeniería . Tu SAT debe aprovechar este modelo para clasificar a los estudiantes en clústeres de desempeño, permitiendo identificar que factores como ser cabeza de familia son impedimentos reales que la facultad debe mitigar mediante apoyos específicos para garantizar el éxito en Saber Pro .</t>
  </si>
  <si>
    <t>Lectura 19 Factores que intervienen en el desempeño de los estudiantes en las Pruebas de Estado Saber Pro.</t>
  </si>
  <si>
    <t>Autores: Geydi Dahiana Demarchi Sánchez.</t>
  </si>
  <si>
    <t>Palabras Claves: Ambiente familiar, Condiciones económicas, Calidad educativa, Evaluación.</t>
  </si>
  <si>
    <t>POR QUÉ: Identificar factores no académicos que afectan el desempeño para entender que los resultados no solo se deben a lo que ocurre en el aula . Busca sensibilizar a las IES sobre la influencia de escenarios como la familia, lo laboral y el barrio en el éxito estudiantil .</t>
  </si>
  <si>
    <t>CÓMO: Estrategia de estudio de caso con metodología cualitativa, técnica de entrevista y encuesta a docentes, estudiantes y líderes . Se aplicó en una institución acreditada donde el 80% de los alumnos son de estratos 1, 2 y 3 . El trabajo es reproducible como modelo de caracterización social .</t>
  </si>
  <si>
    <t>QUÉ: Los hallazgos muestran que el 55% de los problemas son académicos, pero un 23% son familiares y un 17% económicos . Se concluyó que la dedicación a tiempo parcial (estudiar y trabajar) es el mayor factor de riesgo para el bajo desempeño y la deserción .</t>
  </si>
  <si>
    <t>QUÉ FALTA: El estudio sugiere que el nivel adquisitivo de la IES aporta, pero no es determinante. falta investigar si la inversión en tecnología de punta en ingeniería logra compensar las debilidades del entorno familiar .</t>
  </si>
  <si>
    <t>RESUMEN: El artículo resalta que un SAT en ingeniería debe ser humano. No basta con predecir el fracaso. la facultad debe comprender que un estudiante que vive en un barrio con distractores o que trabaja 40 horas necesita una intervención diferente (ej: flexibilidad horaria) para que la institución realmente le agregue valor.</t>
  </si>
  <si>
    <t>PÁRRAFO: según Demarchi Sánchez (2023), tu SAT debe monitorear la dedicación horaria de los estudiantes, ya que aquellos con tiempo parcial presentan un mayor riesgo de bajo desempeño . Para la Facultad de Ingeniería, esto implica que el modelo debe disparar alertas no solo por notas, sino cuando detecte que el estudiante debe alternar actividades laborales intensas, permitiendo a la decanatura ofrecer soluciones de acompañamiento socio-familiar que protejan el rendimiento académico .</t>
  </si>
  <si>
    <t>la facultad debe comprender que un estudiante que vive en un barrio con distractores o que trabaja 40 horas necesita una intervención diferente (ej: flexibilidad horaria) para que la institución realmente le agregue valor.</t>
  </si>
  <si>
    <t>PÁRRAFO: Santiago, según Demarchi Sánchez (2023), tu SAT debe monitorear la dedicación horaria de los estudiantes, ya que aquellos con tiempo parcial presentan un mayor riesgo de bajo desempeño . Para la Facultad de Ingeniería, esto implica que el modelo debe disparar alertas no solo por notas, sino cuando detecte que el estudiante debe alternar actividades laborales intensas, permitiendo a la decanatura ofrecer soluciones de acompañamiento socio-familiar que protejan el rendimiento académico .</t>
  </si>
  <si>
    <t>Lectura 20 Guía para la interpretación del Reporte de resultados en SABER PRO.</t>
  </si>
  <si>
    <t>Autores: CNA (Consejo Nacional de Acreditación) &amp; ICFES.</t>
  </si>
  <si>
    <t>Año: 2015.</t>
  </si>
  <si>
    <t>Palabras Claves: Aporte Relativo, Vecindad de comparación, Valor Agregado.</t>
  </si>
  <si>
    <t>POR QUÉ: Proporcionar a las IES herramientas para interpretar las Medidas de Aporte Relativo (AR) en competencias de razonamiento cuantitativo y lectura crítica . Busca que las facultades dejen de compararse con rankings generales y empiecen a compararse con instituciones de su misma "vecindad" (estudiantes con condiciones de entrada similares) .</t>
  </si>
  <si>
    <t>CÓMO: Se utiliza un procedimiento de cruce basado en algoritmos Soundex y Levenshtein para emparejar Saber 11 con Saber Pro . Se calcula el AR mediante la desviación del puntaje individual respecto al esperado según el nivel de ingreso . Es el marco metodológico oficial y reproducible de valor agregado en Colombia .</t>
  </si>
  <si>
    <t>QUÉ: Los hallazgos demuestran que una institución es exitosa si se ubica en el Cuadrante II: estudiantes que entran con bajo Saber 11 pero salen con Saber Pro por encima del promedio nacional . Se valida que promedios entre diferentes pruebas no pueden compararse directamente sin usar el umbral del tamaño del efecto (0.2 * desviación estándar) .</t>
  </si>
  <si>
    <t>QUÉ FALTA: La guía reconoce que la medida de AR no permite aislar totalmente el "efecto compañeros" (estudiar con personas brillantes), lo cual sigue siendo un reto para valorar el esfuerzo neto del docente .</t>
  </si>
  <si>
    <t>RESUMEN: Este documento es el manual técnico para tu pregunta sobre valor agregado. Define que el aporte de la Facultad de Ingeniería se mide en la capacidad de mover a sus estudiantes hacia percentiles superiores, independientemente de sus carencias iniciales, utilizando la "vecindad de comparación" como el estándar de justicia estadística.</t>
  </si>
  <si>
    <t>PÁRRAFO: Santiago, la Guía del CNA (2015) establece que el "valor agregado" de tu facultad debe calcularse mediante la Medida de Aporte Relativo (AR), comparando a tus estudiantes con una "vecindad" de instituciones similares . Para tu proyecto, esto significa que el éxito de la Facultad de Ingeniería se demuestra si logras ubicar a tus alumnos en el Cuadrante II, evidenciando un crecimiento académico estadísticamente significativo que supera las condiciones iniciales del Saber 11 .</t>
  </si>
  <si>
    <t>Lectura 21 Modelos de Regresión Multivariado Aplicado en Variables Educativas.</t>
  </si>
  <si>
    <t>Autores: Juan Alberto Figueroa Flórez (Universidad Nacional de Colombia).</t>
  </si>
  <si>
    <t>Año: 2014.</t>
  </si>
  <si>
    <t>Palabras Claves: Planeación académica, Deserción, Saber Pro, Regresión multivariada.</t>
  </si>
  <si>
    <t>POR QUÉ: Elaborar modelos que permitan planificar el comportamiento de variables de alta calidad como el Saber Pro y la deserción. Busca que la facultad no solo vea el puntaje como un fin, sino como una variable de salida que interactúa con la permanencia estudiantil .</t>
  </si>
  <si>
    <t>CÓMO: Se adecuaron bases de datos de 11 programas para estudiar periodos entre 2009 y 2012. Se aplicaron técnicas de Mínimos Cuadrados (LS) y PLS1, validando los modelos mediante Cross Validation LOO . El trabajo es reproducible al detallar las matrices de coeficientes de regresión para programas de ingeniería .</t>
  </si>
  <si>
    <t>QUÉ: Los hallazgos muestran porcentajes de predicción del 95% al 98% para variables académicas. En Ingeniería de Sistemas, el modelo PLS2R logró predecir el Saber Pro y el promedio académico con errores mínimos, demostrando que estas variables están fuertemente correlacionadas .</t>
  </si>
  <si>
    <t>QUÉ FALTA: Se señala que el modelo tiene dificultades con variables erráticas como la deserción en ciertos periodos, sugiriendo la necesidad de contar con más observaciones históricas para mejorar el ajuste .</t>
  </si>
  <si>
    <t>RESUMEN: La investigación concluye que el éxito académico debe modelarse de forma conjunta con la retención. Propone que las facultades usen modelos multivariados para prever el rendimiento global, permitiendo a la administración universitaria anticipar necesidades de apoyo antes de que los estudiantes deserten o tengan bajos puntajes.</t>
  </si>
  <si>
    <t>PÁRRAFO: Santiago, según Figueroa Flórez (2014), tu SAT debe ser multivariado, prediciendo simultáneamente el puntaje Saber Pro y el riesgo de deserción. Para la Facultad de Ingeniería, esto implica que el modelo puede alcanzar precisiones de hasta el 98%, permitiendo a la planeación académica realizar intervenciones integrales que protejan tanto la excelencia académica como la permanencia del estudiante .</t>
  </si>
  <si>
    <t>Lectura 22 Estudio del uso de tecnologías en estudiantes universitarios utilizando la técnica K-means.</t>
  </si>
  <si>
    <t>Autores: W. G. Azuara García, M. P. Silva Payró &amp; G. De los Santos Torres.</t>
  </si>
  <si>
    <t>Palabras Claves: K-means, Segmentación, Brecha digital, SAT.</t>
  </si>
  <si>
    <t>POR QUÉ: Clasificar a los estudiantes según su acceso y uso de tecnologías para optimizar las estrategias de enseñanza virtual y presencial. Se diferencia por enfocarse en las condiciones de equipamiento tecnológico como un factor previo al rendimiento .</t>
  </si>
  <si>
    <t>CÓMO: Aplicación del algoritmo K-means utilizando variables de edad y el coeficiente Silhouette para validar la consistencia de los grupos. Se identificaron tres clústeres basados en una población universitaria diversa . El método es reproducible al especificar los rangos de edad y condiciones de internet para cada clase .</t>
  </si>
  <si>
    <t>QUÉ: Los hallazgos revelan que el clúster de jóvenes (20 a 25 años), que es el grueso de ingeniería, presenta las mayores debilidades: servicios de internet ineficientes y computadoras de uso compartido . Es coherente concluir que estas carencias afectan el rendimiento académico.</t>
  </si>
  <si>
    <t>QUÉ FALTA: El estudio no integra factores cualitativos sobre la salud emocional del estudiante, limitándose a la infraestructura tecnológica y edad .</t>
  </si>
  <si>
    <t>RESUMEN: El artículo resalta que un SAT efectivo en la era digital debe diagnosticar primero si el estudiante tiene las herramientas para estudiar. La segmentación por K-means permite a la institución identificar grupos "desconectados" que requieren becas de conectividad o laboratorios abiertos para asegurar su éxito en las pruebas de Estado.</t>
  </si>
  <si>
    <t>PÁRRAFO: Santiago, el trabajo de Azuara García et al. (2025) fundamenta que tu SAT debe incluir una fase de segmentación tecnológica. Al aplicar el algoritmo K-means, la Facultad de Ingeniería podrá identificar que los estudiantes de 20 a 25 años suelen tener internet ineficiente, permitiendo disparar alertas de riesgo preventivas basadas en la brecha digital antes de que esta se traduzca en bajos resultados académicos .</t>
  </si>
  <si>
    <t>Lectura 23 Marcos de referencia de los módulos específicos de Ingeniería (Saber Pro).</t>
  </si>
  <si>
    <t>Autores: Dirección de Evaluación del ICFES (Jiménez Bedoya / Rey Ramírez).</t>
  </si>
  <si>
    <t>Palabras Claves: Formulación de proyectos, Competencias específicas, Valor agregado, Ingeniería.</t>
  </si>
  <si>
    <t>POR QUÉ: Establecer los criterios de evaluación para los módulos de Formulación, Evaluación y Gestión de Proyectos en Ingeniería. El propósito es concretar los objetivos tácticos y operativos que los ingenieros deben dominar para ser productivos en el sector real .</t>
  </si>
  <si>
    <t>CÓMO: Definición de afirmaciones y evidencias de aprendizaje (ej: planeación de recursos mediante PERT/CPM). Se establecen pesos relativos: 35% para formulación, 35% para evaluación y 30% para gestión . Es reproducible como estándar de evaluación curricular nacional.</t>
  </si>
  <si>
    <t>QUÉ: Los hallazgos muestran que las competencias de ingeniería no están unificadas en los currículos, lo que genera variabilidad en los resultados . Se resalta que el éxito en estos módulos mide el valor agregado disciplinar de la facultad.</t>
  </si>
  <si>
    <t>QUÉ FALTA: Se reconoce la limitación de que los programas de ingeniería tienen énfasis muy diversos, lo que dificulta una predicción única para todas las ramas sin considerar el micro-currículo .</t>
  </si>
  <si>
    <t>RESUMEN: Esta fuente define qué es "calidad" en ingeniería. Un modelo predictivo institucional debe considerar estos módulos específicos como el indicador final del valor que la facultad aporta a la formación profesional, yendo más allá de las competencias genéricas como lectura o matemáticas.</t>
  </si>
  <si>
    <t>PÁRRAFO: De acuerdo con los Marcos del ICFES (2019), el "valor agregado" de tu proyecto debe medirse integrando el desempeño en el módulo de Formulación de Proyectos de Ingeniería. Santiago, esto permite a la facultad validar si su formación táctica y operativa está siendo efectiva, asignando un peso del 35% a la capacidad de evaluación de proyectos en el modelo predictivo para asegurar que el egresado cumpla con los estándares de calidad nacional .</t>
  </si>
  <si>
    <t>Lectura 24 Informe Nacional de resultados de los exámenes Saber Pro y TyT - 2023.</t>
  </si>
  <si>
    <t>Autores: Instituto Colombiano para la Evaluación de la Educación (ICFES).</t>
  </si>
  <si>
    <t>Palabras Claves: Enfoque territorial, Homogeneidad, Puntaje global, Benchmarking.</t>
  </si>
  <si>
    <t>POR QUÉ: Proporcionar un balance nacional de la calidad educativa con un enfoque territorial para facilitar el acceso y la mejora en las regiones . Busca que las IES comparen sus resultados con promedios nacionales actualizados tras la pandemia.</t>
  </si>
  <si>
    <t>CÓMO: Análisis estadístico descriptivo de la población evaluada en 2023 (143,336 estudiantes). Se calculó el promedio simple de los cinco módulos genéricos para obtener el puntaje global . El método es reproducible al seguir los lineamientos de agregación por municipio y departamento .</t>
  </si>
  <si>
    <t>QUÉ: El hallazgo principal es que el promedio global se mantuvo en 145 puntos, pero la variabilidad disminuyó significativamente (desviación de 24 puntos), sugiriendo un progreso más uniforme . Se reportó un aumento de 11 puntos en Comunicación Escrita, compensando caídas en otros módulos .</t>
  </si>
  <si>
    <t>QUÉ FALTA: No se detalla el impacto cualitativo de las políticas regionales de cada IES en el cierre de brechas detectado .</t>
  </si>
  <si>
    <t>RESUMEN: El informe oficial valida que el sistema educativo colombiano está logrando resultados más homogéneos. Para una facultad de ingeniería, este documento sirve como el benchmarking necesario: si la desviación de tus estudiantes es superior a 24 puntos, el SAT debe disparar una alerta de alta heterogeneidad en el aprendizaje.</t>
  </si>
  <si>
    <t>PÁRRAFO: Santiago, el Informe Nacional 2023 establece que el estándar de comparación para tu modelo es un puntaje global de 145 puntos. Para la Facultad de Ingeniería, este dato es vital para configurar los umbrales de tu SAT, ya que cualquier estudiante por debajo de este promedio nacional, o con una variabilidad superior a los 24 puntos, debe ser priorizado para programas de fortalecimiento en competencias genéricas .</t>
  </si>
  <si>
    <t>Lectura 25 Informe nacional de resultados Saber Pro y Saber TyT 2022.</t>
  </si>
  <si>
    <t>Palabras Claves: Movilidad intergeneracional, Educación materna, Brechas socioeconómicas, SAT.</t>
  </si>
  <si>
    <t>POR QUÉ: Analizar la movilidad educativa y cómo factores del hogar influyen en el logro académico superior. Busca identificar brechas para diseñar estrategias de cierre de estas mediante indicadores de logro poblacionales .</t>
  </si>
  <si>
    <t>CÓMO: Se correlacionó el nivel educativo de la madre con el puntaje global obtenido en 2022. Se empleó una escala de 0 a 300 para Saber Pro, evaluando la variación entre grupos de NSE 1 y 4 . El trabajo es reproducible al usar microdatos públicos del ICFES .</t>
  </si>
  <si>
    <t>QUÉ: Los hallazgos confirman una relación ascendente: estudiantes con madres con posgrado sacan hasta 12 puntos más que aquellos cuyas madres solo tienen primaria completa . Se identificó que trabajar más de 30 horas semanales afecta negativamente el puntaje en Saber Pro, a diferencia de lo que ocurre en TyT .</t>
  </si>
  <si>
    <t>QUÉ FALTA: El informe no mide el impacto de la salud mental post-pandemia en la estabilidad de estas brechas socioeconómicas .</t>
  </si>
  <si>
    <t>RESUMEN: Este documento fundamenta las variables de entrada de tu SAT. El nivel educativo de la madre y la carga laboral semanal son "banderas rojas" socioeconómicas que la facultad debe mapear desde el primer semestre para predecir quiénes tendrán dificultades para alcanzar la media nacional.</t>
  </si>
  <si>
    <t>PÁRRAFO: Según el Informe Nacional 2022, tu SAT debe priorizar como factor de riesgo la educación de la madre y la dedicación laboral de más de 30 horas. Santiago, para tu facultad de Ingeniería, estos microdatos revelan brechas de hasta 12 puntos en el desempeño, lo que permite al modelo identificar estudiantes en situación de vulnerabilidad intergeneracional y ofrecerles apoyo institucional focalizado para mitigar el impacto del entorno en su puntaje final .</t>
  </si>
  <si>
    <t>Lectura 26 Educational data mining to discover patterns associated with academic performance in generic skills.</t>
  </si>
  <si>
    <t>Autores: Silvio-Ricardo Timarán-Pereira &amp; Andrea Timarán-Buchely.</t>
  </si>
  <si>
    <t>Palabras Claves: Minería de datos, J48, Soporte a IES, Calidad educativa.</t>
  </si>
  <si>
    <t>POR QUÉ: Identificar patrones de desempeño en competencias genéricas para que sirvan de soporte a las IES en la generación de estrategias de mejora de la calidad educativa. Se centra específicamente en programas afines a la Informática y Sistemas .</t>
  </si>
  <si>
    <t>CÓMO: Aplicación del algoritmo J48 (árboles de decisión) bajo la metodología CRISP-DM. Se evaluó la precisión (0.60), la sensibilidad y el recall para casos sobre y bajo la media . Es reproducible al detallar las reglas de decisión generadas con confianza mínima del 60% .</t>
  </si>
  <si>
    <t>QUÉ: Se descubrió que pertenecer a programas de sistemas en la región Andina es un patrón de éxito. Sin embargo, se identificó que estudiantes con 24 años o más tienen mayor probabilidad de estar bajo la media, lo que es una alerta demográfica clara para ingeniería .</t>
  </si>
  <si>
    <t>QUÉ FALTA: Los autores señalan que se requiere validar si estos patrones se mantienen estables en otras áreas fuera de la ingeniería y la informática .</t>
  </si>
  <si>
    <t>RESUMEN: La investigación aporta "reglas de negocio" para el SAT de ingeniería. Al usar árboles de decisión, la facultad puede decirle a un estudiante: "si trabajas y tienes más de 25 años, tu probabilidad de éxito cae", permitiendo una intervención pedagógica con lenguaje claro y basado en datos históricos.</t>
  </si>
  <si>
    <t>PÁRRAFO: Santiago, el trabajo de Timarán-Pereira y Timarán-Buchely (2021) te proporciona la lógica para tus alertas del SAT en Ingeniería de Sistemas. El uso del algoritmo J48 revela que tener 24 años o más es un factor de riesgo estadístico para estar bajo la media nacional, lo que permite a tu facultad disparar alertas automáticas de refuerzo académico para este grupo etario, optimizando la gestión de calidad institucional .</t>
  </si>
  <si>
    <t>Lectura 27 Análisis estadístico multivariado de los resultados en las pruebas Saber Pro del programa de ingeniería en producción acuícola en la Universidad de Nariño.</t>
  </si>
  <si>
    <t>Autores: Cerón Benavides, S. M.</t>
  </si>
  <si>
    <t>Palabras Claves: Fortalecimiento de competencias, ANOVAS, PCA, Ingeniería.</t>
  </si>
  <si>
    <t>POR QUÉ: Caracterizar una población específica de ingeniería y determinar el grado de contribución de cada competencia genérica al puntaje global. Busca fundamentar planes de mejoramiento que fortalezcan las áreas donde los estudiantes no superan los umbrales mínimos .</t>
  </si>
  <si>
    <t>CÓMO: Empleo de PCA para determinar la variabilidad y modelos de Regresión Cuantílica (cuantiles 0.1 a 0.9). Se realizaron pruebas de Durbin-Watson para descartar autocorrelación en los residuos . El trabajo es reproducible al presentar los ANOVAS entre modelos de cuantiles .</t>
  </si>
  <si>
    <t>QUÉ: Los hallazgos muestran que las 5 competencias genéricas son indispensables para la predicción, pero tienen pesos diferentes según el cuantil de desempeño del estudiante . Se recomienda fortalecer competencias con contribuciones menores a 50 puntos sobre las componentes principales .</t>
  </si>
  <si>
    <t>QUÉ FALTA: El estudio sugiere realizar una transformación previa de datos para asegurar la homocedasticidad, algo que no se logró plenamente en el primer ajuste .</t>
  </si>
  <si>
    <t>RESUMEN: La investigación demuestra que la facultad debe monitorear el "peso" de cada competencia en el tiempo. Propone un SAT que no solo avise de un riesgo global, sino que identifique si el problema es de Razonamiento Cuantitativo o de Comunicación Escrita, permitiendo un ahorro de recursos al intervenir solo el área deficiente.</t>
  </si>
  <si>
    <t>PÁRRAFO: el estudio de Cerón Benavides (2020) valida que para tu proyecto en Ingeniería, debes aplicar Análisis de Componentes Principales (PCA) para identificar qué competencias están restando valor agregado a tus estudiantes. Este enfoque permite que tu SAT recomiende fortalecimientos específicos en las áreas que no superan el umbral de contribución de 50 puntos, asegurando que la facultad actúe quirúrgicamente sobre las debilidades detectadas .</t>
  </si>
  <si>
    <t>Lectura 28 Factores asociados al rendimiento en las pruebas Saber Pro en estudiantes de ingeniería civil en universidades colombianas.</t>
  </si>
  <si>
    <t>Autores: Osma Castellanos, W. A., Mojica Perdomo, A. D., &amp; Rivera Flórez, T. E.</t>
  </si>
  <si>
    <t>Palabras Claves: Naturaleza institucional, Media normalizada, Ingeniería Civil.</t>
  </si>
  <si>
    <t>POR QUÉ: Analizar los factores que posicionan a los programas de ingeniería civil respecto a la media nacional. Busca identificar si la naturaleza de la IES (Pública vs. Privada) actúa como un predictor de base del éxito académico .</t>
  </si>
  <si>
    <t>CÓMO: Estudio estadístico descriptivo sobre 2,263 estudiantes de ingeniería civil a nivel nacional. Se compararon promedios históricos contra la media normalizada de 100 puntos establecida por el ICFES . Es reproducible como estudio de caracterización nacional.</t>
  </si>
  <si>
    <t>QUÉ: Se halló que los programas de ingeniería civil suelen alcanzar únicamente el valor de la media normalizada (100) de forma consecutiva, lo que sugiere una estabilidad que dificulta el crecimiento del valor agregado institucional si no se cambian las metodologías de enseñanza .</t>
  </si>
  <si>
    <t>QUÉ FALTA: Faltó integrar la trayectoria individual del estudiante desde su ingreso (Saber 11) para separar el efecto institución del efecto cuna .</t>
  </si>
  <si>
    <t>RESUMEN: El artículo resalta que muchas facultades de ingeniería están estancadas en la media nacional. Un modelo predictivo debe alertar a la decanatura cuando el programa no está logrando que el estudiante promedio dé el "salto" hacia los percentiles superiores, lo cual es la esencia del valor agregado.</t>
  </si>
  <si>
    <t>PÁRRAFO: según Osma Castellanos et al. (2014), tu modelo debe usar el valor de la media normalizada (100 o 145 según el año) como el punto de control crítico. Para la Facultad de Ingeniería, esto justifica que el SAT dispare alertas cuando el programa se estanque en el promedio nacional, permitiendo a las directivas rediseñar los planes de estudio de ingeniería civil para superar el techo de rendimiento detectado históricamente .</t>
  </si>
  <si>
    <t>Lectura 29 Modelo Estadístico para determinar los factores académicos en los Resultados de las Pruebas Saber Pro.</t>
  </si>
  <si>
    <t>Autores: Alberto Fabio Narváez Zúñiga.</t>
  </si>
  <si>
    <t>Palabras Claves: Promedio académico, Índice CLASE, Regresión Lineal, SAT.</t>
  </si>
  <si>
    <t>POR QUÉ: Identificar factores académicos universitarios que inciden en el resultado final para orientar políticas de mejora del rendimiento escolar. Se diferencia por incluir el promedio académico acumulado del estudiante como variable central .</t>
  </si>
  <si>
    <t>CÓMO: Uso de un dataset de Saber Pro procesado mediante Regresión Lineal Multivariante. Se incluyeron variables como el estrato, si el estudiante trabaja y su nivel académico en la carrera (variable CLASE) . Es reproducible al presentar los residuos mínimos, medianos y máximos del modelo .</t>
  </si>
  <si>
    <t>QUÉ: El hallazgo más relevante es que la variable CLASE6 (un promedio académico alto en ingeniería) tiene un coeficiente positivo significativo, siendo el predictor de éxito más estable junto con la preparación previa para el examen . Las variables socioeconómicas (estrato 2 y 3) mostraron coeficientes negativos respecto a la excelencia .</t>
  </si>
  <si>
    <t>QUÉ FALTA: El autor advierte que hubo coeficientes no definidos debido a singularidades en los datos, lo que requiere una limpieza de datos más profunda en futuras réplicas .</t>
  </si>
  <si>
    <t>RESUMEN: Esta investigación valida que el mejor indicador para el SAT no está fuera, sino dentro de la universidad. El promedio acumulado del estudiante es el "termómetro" más preciso para predecir el Saber Pro. si un estudiante de ingeniería tiene un promedio bajo, el SAT tiene un sustento estadístico irrefutable para intervenir.</t>
  </si>
  <si>
    <t>PÁRRAFO: el trabajo de Narváez Zúñiga (2023) demuestra que tu SAT debe estar alimentado por el promedio académico acumulado (CLASE) del estudiante. Para tu facultad de Ingeniería, esto significa que el modelo predictivo tiene en las notas internas su variable de mayor peso, permitiendo identificar con precisión científica que un desempeño universitario deficiente es el principal precursor de un bajo puntaje en el examen de Estado .</t>
  </si>
  <si>
    <t>Lectura 30 Propuesta metodológica para la medición de valor agregado UDEC.</t>
  </si>
  <si>
    <t>Palabras Claves: Zona de crecimiento, Logit, Probabilidad, Valor Agregado institucional.</t>
  </si>
  <si>
    <t>POR QUÉ: Identificar el aporte neto de la universidad mediante una metodología que incorpore el nivel de logro frente al contexto precedente del estudiante. Busca superar las limitaciones de mirar solo el puntaje final .</t>
  </si>
  <si>
    <t>CÓMO: Definición de la "Zona de Crecimiento" mediante la probabilidad logística (Logit). El valor agregado se mide si el índice de crecimiento es mayor que uno (Ci &gt; 1), indicando que el estudiante superó su propia base de Saber 11 . El método es reproducible al detallar las transformaciones de escala de 0 a 100 .</t>
  </si>
  <si>
    <t>QUÉ: Los hallazgos muestran que la contribución de la institución se puede aislar de otros factores externos . Se identificó que por cada cinco hombres estudiantes, hay una mujer con mayor probabilidad de estar en la zona de crecimiento en ciertos contextos de ingeniería . Factores como la cantidad de equipos de cómputo en la facultad aumentan 1.12 veces la probabilidad de éxito .</t>
  </si>
  <si>
    <t>QUÉ FALTA: Se recomienda profundizar en modelos que incluyan variables de dedicación al internet y lectura de forma más granular .</t>
  </si>
  <si>
    <t>RESUMEN: Este documento es el "estándar de oro" para tu proyecto. Propone un SAT que clasifica a los estudiantes en un grupo '1' (crecimiento) o '0' (estancamiento). La Facultad de Ingeniería agrega valor si logra que sus estudiantes de ingeniería ambiental o de sistemas tengan un Ci &gt; 1, demostrando que su paso por las aulas potenció sus habilidades por encima de su punto de partida.</t>
  </si>
  <si>
    <t>PÁRRAFO: la Propuesta UDEC (2019) te entrega la métrica definitiva de "valor agregado": el Índice de Crecimiento (Ci). Al integrar esta fórmula en tu modelo predictivo, podrás demostrarle a la Facultad de Ingeniería si está cumpliendo su misión, identificando que una mayor dotación de equipos de cómputo aumenta la probabilidad de que los estudiantes entren en la "Zona de Crecimiento", garantizando una gestión académica basada en el progreso real del aprendizaje .</t>
  </si>
  <si>
    <t>ID</t>
  </si>
  <si>
    <t>Referencia</t>
  </si>
  <si>
    <t>Base de datos</t>
  </si>
  <si>
    <t>Tipo</t>
  </si>
  <si>
    <t>Objetivo</t>
  </si>
  <si>
    <t>Metodología</t>
  </si>
  <si>
    <t>Algoritmo</t>
  </si>
  <si>
    <t>Variables</t>
  </si>
  <si>
    <t>Resultados</t>
  </si>
  <si>
    <t>Evidencia</t>
  </si>
  <si>
    <t>Limitaciones</t>
  </si>
  <si>
    <t>Aporte RQ1</t>
  </si>
  <si>
    <t>Aporte RQ2</t>
  </si>
  <si>
    <t>Observaciones</t>
  </si>
  <si>
    <t>P1</t>
  </si>
  <si>
    <t>LACCEI Conference</t>
  </si>
  <si>
    <t>Scopus</t>
  </si>
  <si>
    <t>Cuantitativo</t>
  </si>
  <si>
    <t>Predecir desempeño en Saber Pro</t>
  </si>
  <si>
    <t>Modelos predictivos</t>
  </si>
  <si>
    <t>Random Forest / ML</t>
  </si>
  <si>
    <t>Variables académicas</t>
  </si>
  <si>
    <t>Alta precisión en predicción</t>
  </si>
  <si>
    <t>Alta</t>
  </si>
  <si>
    <t>Datos limitados</t>
  </si>
  <si>
    <t>Identifica algoritmos precisos</t>
  </si>
  <si>
    <t>Base para implementación</t>
  </si>
  <si>
    <t>Buen enfoque pero poca interpretabilidad</t>
  </si>
  <si>
    <t>P2</t>
  </si>
  <si>
    <t>UNAD</t>
  </si>
  <si>
    <t>Analizar técnicas ML en educación</t>
  </si>
  <si>
    <t>Comparativo</t>
  </si>
  <si>
    <t>Random Forest, SVM</t>
  </si>
  <si>
    <t>Resultados académicos</t>
  </si>
  <si>
    <t>RF superior en precisión</t>
  </si>
  <si>
    <t>Falta validación externa</t>
  </si>
  <si>
    <t>Comparación directa</t>
  </si>
  <si>
    <t>Apoya uso institucional</t>
  </si>
  <si>
    <t>Falta análisis contextual</t>
  </si>
  <si>
    <t>P3</t>
  </si>
  <si>
    <t>Revista Conrado</t>
  </si>
  <si>
    <t>Scielo</t>
  </si>
  <si>
    <t>Evaluar progreso académico</t>
  </si>
  <si>
    <t>Predictivo</t>
  </si>
  <si>
    <t>ML general</t>
  </si>
  <si>
    <t>Progreso académico</t>
  </si>
  <si>
    <t>Identificación de variables clave</t>
  </si>
  <si>
    <t>Media</t>
  </si>
  <si>
    <t>Muestra reducida</t>
  </si>
  <si>
    <t>Relación variables-modelo</t>
  </si>
  <si>
    <t>Apoyo conceptual</t>
  </si>
  <si>
    <t>Limitado en generalización</t>
  </si>
  <si>
    <t>P4</t>
  </si>
  <si>
    <t>Scientific Reports</t>
  </si>
  <si>
    <t>Nature</t>
  </si>
  <si>
    <t>Mixto</t>
  </si>
  <si>
    <t>Analizar estrategias IA</t>
  </si>
  <si>
    <t>Explicativo</t>
  </si>
  <si>
    <t>ML + SHAP</t>
  </si>
  <si>
    <t>Resultados educativos</t>
  </si>
  <si>
    <t>Interpretabilidad alta</t>
  </si>
  <si>
    <t>Muy alta</t>
  </si>
  <si>
    <t>Complejidad técnica</t>
  </si>
  <si>
    <t>Explica modelos</t>
  </si>
  <si>
    <t>Fuerte en implementación</t>
  </si>
  <si>
    <t>Muy relevante metodológicamente</t>
  </si>
  <si>
    <t>P5</t>
  </si>
  <si>
    <t>arXiv</t>
  </si>
  <si>
    <t>Medir valor agregado educativo</t>
  </si>
  <si>
    <t>Decision Tree</t>
  </si>
  <si>
    <t>Resultados Saber Pro</t>
  </si>
  <si>
    <t>Modelo interpretable</t>
  </si>
  <si>
    <t>Menor precisión</t>
  </si>
  <si>
    <t>Alternativa simple</t>
  </si>
  <si>
    <t>Implementación fácil</t>
  </si>
  <si>
    <t>Menor rendimiento predictivo</t>
  </si>
  <si>
    <t>Fuente</t>
  </si>
  <si>
    <t>Publicación</t>
  </si>
  <si>
    <t>Empresa o IES de la Estrategia</t>
  </si>
  <si>
    <t>Tipo de Estrategia</t>
  </si>
  <si>
    <t>Pilar Sostenible</t>
  </si>
  <si>
    <t>Indicadores</t>
  </si>
  <si>
    <t>Herramienta</t>
  </si>
  <si>
    <t>Sabalza Mejia M.</t>
  </si>
  <si>
    <t>Predicción de resultados Saber Pro</t>
  </si>
  <si>
    <t>Saber pro, variables académicas</t>
  </si>
  <si>
    <t>Machine Learning</t>
  </si>
  <si>
    <t>Académico</t>
  </si>
  <si>
    <t>Garcia Cano M.</t>
  </si>
  <si>
    <t>Modelo predictivo rendimiento académico</t>
  </si>
  <si>
    <t>Bautista Cañón E.</t>
  </si>
  <si>
    <t>Modelo predictivo aprendizaje</t>
  </si>
  <si>
    <t>Suaza-Medina M.</t>
  </si>
  <si>
    <t>Predicción con explicabilidad</t>
  </si>
  <si>
    <t>Resultados pruebas</t>
  </si>
  <si>
    <t>Perez Bernal G.</t>
  </si>
  <si>
    <t>Modelo predictivo árboles de decisión</t>
  </si>
  <si>
    <t>Revista Facultad de Ingeniería</t>
  </si>
  <si>
    <t>Timarán-Buchely A.</t>
  </si>
  <si>
    <t>Predicción lectura crítica</t>
  </si>
  <si>
    <t>Resultados lectura</t>
  </si>
  <si>
    <t>Árboles de decisión</t>
  </si>
  <si>
    <t>Lectura crítica</t>
  </si>
  <si>
    <t>Revista Colombiana de Tecnologías</t>
  </si>
  <si>
    <t>Timarán Pereira S.</t>
  </si>
  <si>
    <t>Minería de datos educativos</t>
  </si>
  <si>
    <t>Patrones académicos</t>
  </si>
  <si>
    <t>Data Mining</t>
  </si>
  <si>
    <t>Formación Universitaria</t>
  </si>
  <si>
    <t>Castrillón O.</t>
  </si>
  <si>
    <t>Predicción con IA</t>
  </si>
  <si>
    <t>Rendimiento académico</t>
  </si>
  <si>
    <t>Inteligencia Artificial</t>
  </si>
  <si>
    <t>Revista Politécnica</t>
  </si>
  <si>
    <t>Oviedo Carrascal A.</t>
  </si>
  <si>
    <t>Minería de datos en educación</t>
  </si>
  <si>
    <t>Universidad Distrital</t>
  </si>
  <si>
    <t>Autor institucional</t>
  </si>
  <si>
    <t>Modelo redes neuronales</t>
  </si>
  <si>
    <t>Rendimiento estudiantes</t>
  </si>
  <si>
    <t>Redes Neuronales</t>
  </si>
  <si>
    <t>Innovaciencia</t>
  </si>
  <si>
    <t>Osma Castellanos W.</t>
  </si>
  <si>
    <t>Factores de rendimiento</t>
  </si>
  <si>
    <t>Variables socioeconómicas</t>
  </si>
  <si>
    <t>Estadística</t>
  </si>
  <si>
    <t>Social</t>
  </si>
  <si>
    <t>Revista Colombiana de Educación</t>
  </si>
  <si>
    <t>Molina-Hurtado Y.</t>
  </si>
  <si>
    <t>Factores en desempeño</t>
  </si>
  <si>
    <t>Análisis estadístico</t>
  </si>
  <si>
    <t>El Ágora USB</t>
  </si>
  <si>
    <t>Demarchi Sanchez G.</t>
  </si>
  <si>
    <t>Factores del desempeño</t>
  </si>
  <si>
    <t>DYNA</t>
  </si>
  <si>
    <t>Gutiérrez-Monsalve J.</t>
  </si>
  <si>
    <t>Estudio correlacional</t>
  </si>
  <si>
    <t>Factores académicos</t>
  </si>
  <si>
    <t>Correlación</t>
  </si>
  <si>
    <t>Dilemas Contemporáneos</t>
  </si>
  <si>
    <t>Araiza Lozano M.</t>
  </si>
  <si>
    <t>Factores socioeconómicos</t>
  </si>
  <si>
    <t>Contexto social</t>
  </si>
  <si>
    <t>Revista Educación y Desarrollo</t>
  </si>
  <si>
    <t>Arias Manrique I.</t>
  </si>
  <si>
    <t>Influencia familiar</t>
  </si>
  <si>
    <t>Apoyo familiar</t>
  </si>
  <si>
    <t>Análisis social</t>
  </si>
  <si>
    <t>Revista TIA</t>
  </si>
  <si>
    <t>Vanegas-Ayala S.</t>
  </si>
  <si>
    <t>Impacto pandemia</t>
  </si>
  <si>
    <t>Working Paper</t>
  </si>
  <si>
    <t>Blanquicett D.</t>
  </si>
  <si>
    <t>Factores en resultados</t>
  </si>
  <si>
    <t>Revista La Tuerka</t>
  </si>
  <si>
    <t>Noguera Torres A.</t>
  </si>
  <si>
    <t>Análisis rendimiento</t>
  </si>
  <si>
    <t>Artículo investigación</t>
  </si>
  <si>
    <t>Rivera L.</t>
  </si>
  <si>
    <t>Factores Saber pro</t>
  </si>
  <si>
    <t>Perez M.</t>
  </si>
  <si>
    <t>Regresión logística</t>
  </si>
  <si>
    <t>Tesis UNAL</t>
  </si>
  <si>
    <t>Figueroa Flórez J.</t>
  </si>
  <si>
    <t>Modelo multivariado</t>
  </si>
  <si>
    <t>Variables educativas</t>
  </si>
  <si>
    <t>Regresión multivariada</t>
  </si>
  <si>
    <t>EIEI ACOFI</t>
  </si>
  <si>
    <t>Orozco Morales N.</t>
  </si>
  <si>
    <t>Selección de variables</t>
  </si>
  <si>
    <t>Datos Saber Pro</t>
  </si>
  <si>
    <t>García Arango D.</t>
  </si>
  <si>
    <t>Análisis correlaciones</t>
  </si>
  <si>
    <t>Saber 11 vs Saber Pro</t>
  </si>
  <si>
    <t>Cuaderno Activa</t>
  </si>
  <si>
    <t>Rengifo S.</t>
  </si>
  <si>
    <t>Analítica educativa</t>
  </si>
  <si>
    <t>Data Analytics</t>
  </si>
  <si>
    <t>Economics of Education Review</t>
  </si>
  <si>
    <t>Cunha J.</t>
  </si>
  <si>
    <t>Valor agregado educación</t>
  </si>
  <si>
    <t>Modelos econométricos</t>
  </si>
  <si>
    <t>Institucional</t>
  </si>
  <si>
    <t>Journal of Educational Measurement</t>
  </si>
  <si>
    <t>Milla J.</t>
  </si>
  <si>
    <t>Valor agregado</t>
  </si>
  <si>
    <t>Resultados múltiples</t>
  </si>
  <si>
    <t>Modelos estadísticos</t>
  </si>
  <si>
    <t>Documentos IEEC</t>
  </si>
  <si>
    <t>Valencia Cobo J.</t>
  </si>
  <si>
    <t>Valor agregado universidades</t>
  </si>
  <si>
    <t>Revista Educación en Ingeniería</t>
  </si>
  <si>
    <t>Monroy Mateus A.</t>
  </si>
  <si>
    <t>Metodología valor agregado</t>
  </si>
  <si>
    <t>Modelo metodológico</t>
  </si>
  <si>
    <t>Borradores Investigación</t>
  </si>
  <si>
    <t>Casas A.</t>
  </si>
  <si>
    <t>Calidad educativa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</si>
</sst>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b/>
      <sz val="14.0"/>
      <color theme="1"/>
      <name val="Calibri"/>
      <scheme val="minor"/>
    </font>
    <font>
      <sz val="14.0"/>
      <color theme="1"/>
      <name val="Calibri"/>
      <scheme val="minor"/>
    </font>
    <font>
      <b/>
      <sz val="11.0"/>
      <color theme="1"/>
      <name val="Calibri"/>
    </font>
    <font>
      <sz val="11.0"/>
      <color theme="1"/>
      <name val="Calibri"/>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vertical="center"/>
    </xf>
    <xf borderId="0" fillId="0" fontId="1" numFmtId="0" xfId="0" applyAlignment="1" applyFont="1">
      <alignment horizontal="center" readingOrder="0" shrinkToFit="0"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2" numFmtId="0" xfId="0" applyFont="1"/>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vertical="bottom"/>
    </xf>
    <xf borderId="0" fillId="0" fontId="5" numFmtId="0" xfId="0" applyAlignment="1" applyFont="1">
      <alignment horizontal="center" readingOrder="0" shrinkToFit="0" vertical="center" wrapText="1"/>
    </xf>
    <xf borderId="0" fillId="0" fontId="5" numFmtId="0" xfId="0" applyAlignment="1" applyFont="1">
      <alignment vertical="bottom"/>
    </xf>
    <xf borderId="0" fillId="0" fontId="1" numFmtId="0" xfId="0" applyAlignment="1" applyFont="1">
      <alignment horizontal="center" shrinkToFit="0" vertical="center" wrapText="1"/>
    </xf>
    <xf borderId="0" fillId="0" fontId="6"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shrinkToFit="0" vertical="center" wrapText="0"/>
    </xf>
    <xf borderId="0" fillId="0" fontId="1" numFmtId="0" xfId="0" applyAlignment="1" applyFont="1">
      <alignment shrinkToFit="0" wrapText="0"/>
    </xf>
    <xf borderId="0" fillId="0" fontId="1" numFmtId="0" xfId="0" applyAlignment="1" applyFont="1">
      <alignment horizontal="center" readingOrder="0" shrinkToFit="0" vertical="center" wrapText="0"/>
    </xf>
    <xf borderId="0" fillId="0" fontId="1" numFmtId="0" xfId="0" applyAlignment="1" applyFont="1">
      <alignment readingOrder="0" shrinkToFit="0" wrapText="0"/>
    </xf>
    <xf borderId="0" fillId="0" fontId="1" numFmtId="0" xfId="0" applyAlignment="1" applyFont="1">
      <alignment horizontal="center" shrinkToFit="0" vertical="center" wrapText="0"/>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57.71"/>
    <col customWidth="1" min="3" max="26" width="10.71"/>
  </cols>
  <sheetData>
    <row r="1" ht="14.25" customHeight="1">
      <c r="A1" s="1" t="s">
        <v>0</v>
      </c>
      <c r="B1" s="2" t="s">
        <v>1</v>
      </c>
    </row>
    <row r="2" ht="14.25" customHeight="1">
      <c r="A2" s="1" t="s">
        <v>2</v>
      </c>
      <c r="B2" s="2" t="s">
        <v>3</v>
      </c>
    </row>
    <row r="3" ht="14.25" customHeight="1">
      <c r="B3" s="3"/>
    </row>
    <row r="4" ht="14.25" customHeight="1">
      <c r="A4" s="4" t="s">
        <v>4</v>
      </c>
      <c r="B4" s="5" t="s">
        <v>5</v>
      </c>
    </row>
    <row r="5" ht="14.25" customHeight="1">
      <c r="B5" s="3"/>
    </row>
    <row r="6" ht="14.25" customHeight="1">
      <c r="B6" s="3"/>
    </row>
    <row r="7" ht="14.25" customHeight="1">
      <c r="B7" s="3"/>
    </row>
    <row r="8" ht="14.25" customHeight="1">
      <c r="B8" s="3"/>
    </row>
    <row r="9" ht="14.25" customHeight="1">
      <c r="B9" s="3"/>
    </row>
    <row r="10" ht="14.25" customHeight="1">
      <c r="B10" s="3"/>
    </row>
    <row r="11" ht="14.25" customHeight="1">
      <c r="B11" s="3"/>
    </row>
    <row r="12" ht="14.25" customHeight="1">
      <c r="B12" s="3"/>
    </row>
    <row r="13" ht="14.25" customHeight="1">
      <c r="B13" s="3"/>
    </row>
    <row r="14" ht="14.25" customHeight="1">
      <c r="B14" s="3"/>
    </row>
    <row r="15" ht="14.25" customHeight="1">
      <c r="B15" s="3"/>
    </row>
    <row r="16" ht="14.25" customHeight="1">
      <c r="B16" s="3"/>
    </row>
    <row r="17" ht="14.25" customHeight="1">
      <c r="B17" s="3"/>
    </row>
    <row r="18" ht="14.25" customHeight="1">
      <c r="B18" s="3"/>
    </row>
    <row r="19" ht="14.25" customHeight="1">
      <c r="B19" s="3"/>
    </row>
    <row r="20" ht="14.25" customHeight="1">
      <c r="B20" s="3"/>
    </row>
    <row r="21" ht="14.25" customHeight="1">
      <c r="B21" s="3"/>
    </row>
    <row r="22" ht="14.25" customHeight="1">
      <c r="B22" s="3"/>
    </row>
    <row r="23" ht="14.25" customHeight="1">
      <c r="B23" s="3"/>
    </row>
    <row r="24" ht="14.25" customHeight="1">
      <c r="B24" s="3"/>
    </row>
    <row r="25" ht="14.25" customHeight="1">
      <c r="B25" s="3"/>
    </row>
    <row r="26" ht="14.25" customHeight="1">
      <c r="B26" s="3"/>
    </row>
    <row r="27" ht="14.25" customHeight="1">
      <c r="B27" s="3"/>
    </row>
    <row r="28" ht="14.25" customHeight="1">
      <c r="B28" s="3"/>
    </row>
    <row r="29" ht="14.25" customHeight="1">
      <c r="B29" s="3"/>
    </row>
    <row r="30" ht="14.25" customHeight="1">
      <c r="B30" s="3"/>
    </row>
    <row r="31" ht="14.25" customHeight="1">
      <c r="B31" s="3"/>
    </row>
    <row r="32" ht="14.25" customHeight="1">
      <c r="B32" s="3"/>
    </row>
    <row r="33" ht="14.25" customHeight="1">
      <c r="B33" s="3"/>
    </row>
    <row r="34" ht="14.25" customHeight="1">
      <c r="B34" s="3"/>
    </row>
    <row r="35" ht="14.25" customHeight="1">
      <c r="B35" s="3"/>
    </row>
    <row r="36" ht="14.25" customHeight="1">
      <c r="B36" s="3"/>
    </row>
    <row r="37" ht="14.25" customHeight="1">
      <c r="B37" s="3"/>
    </row>
    <row r="38" ht="14.25" customHeight="1">
      <c r="B38" s="3"/>
    </row>
    <row r="39" ht="14.25" customHeight="1">
      <c r="B39" s="3"/>
    </row>
    <row r="40" ht="14.25" customHeight="1">
      <c r="B40" s="3"/>
    </row>
    <row r="41" ht="14.25" customHeight="1">
      <c r="B41" s="3"/>
    </row>
    <row r="42" ht="14.25" customHeight="1">
      <c r="B42" s="3"/>
    </row>
    <row r="43" ht="14.25" customHeight="1">
      <c r="B43" s="3"/>
    </row>
    <row r="44" ht="14.25" customHeight="1">
      <c r="B44" s="3"/>
    </row>
    <row r="45" ht="14.25" customHeight="1">
      <c r="B45" s="3"/>
    </row>
    <row r="46" ht="14.25" customHeight="1">
      <c r="B46" s="3"/>
    </row>
    <row r="47" ht="14.25" customHeight="1">
      <c r="B47" s="3"/>
    </row>
    <row r="48" ht="14.25" customHeight="1">
      <c r="B48" s="3"/>
    </row>
    <row r="49" ht="14.25" customHeight="1">
      <c r="B49" s="3"/>
    </row>
    <row r="50" ht="14.25" customHeight="1">
      <c r="B5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14"/>
    <col customWidth="1" min="2" max="2" width="45.57"/>
    <col customWidth="1" min="3" max="3" width="10.71"/>
    <col customWidth="1" min="4" max="4" width="23.86"/>
    <col customWidth="1" min="5" max="26" width="10.71"/>
  </cols>
  <sheetData>
    <row r="1" ht="14.25" customHeight="1">
      <c r="A1" s="3" t="s">
        <v>6</v>
      </c>
      <c r="B1" s="3" t="s">
        <v>7</v>
      </c>
      <c r="C1" s="3"/>
      <c r="D1" s="3"/>
      <c r="E1" s="3"/>
      <c r="F1" s="3"/>
      <c r="G1" s="3"/>
    </row>
    <row r="2" ht="14.25" customHeight="1">
      <c r="A2" s="3" t="s">
        <v>0</v>
      </c>
      <c r="B2" s="3" t="s">
        <v>8</v>
      </c>
      <c r="C2" s="3" t="s">
        <v>9</v>
      </c>
      <c r="D2" s="3" t="s">
        <v>10</v>
      </c>
      <c r="E2" s="3" t="s">
        <v>11</v>
      </c>
      <c r="F2" s="3"/>
      <c r="G2" s="3" t="s">
        <v>12</v>
      </c>
    </row>
    <row r="3" ht="14.25" customHeight="1">
      <c r="A3" s="3" t="s">
        <v>2</v>
      </c>
      <c r="B3" s="3" t="s">
        <v>13</v>
      </c>
      <c r="C3" s="3" t="s">
        <v>11</v>
      </c>
      <c r="D3" s="3" t="s">
        <v>14</v>
      </c>
      <c r="E3" s="3"/>
      <c r="F3" s="3"/>
      <c r="G3" s="3"/>
    </row>
    <row r="4" ht="14.25" customHeight="1">
      <c r="A4" s="3"/>
      <c r="B4" s="3" t="s">
        <v>15</v>
      </c>
      <c r="C4" s="3"/>
      <c r="D4" s="3"/>
      <c r="E4" s="3"/>
      <c r="F4" s="3"/>
      <c r="G4" s="3"/>
    </row>
    <row r="5" ht="14.25" customHeight="1">
      <c r="A5" s="3"/>
      <c r="B5" s="3"/>
      <c r="C5" s="3"/>
      <c r="D5" s="3"/>
      <c r="E5" s="3"/>
      <c r="F5" s="3"/>
      <c r="G5" s="3"/>
    </row>
    <row r="6" ht="14.25" customHeight="1">
      <c r="A6" s="3"/>
      <c r="B6" s="3"/>
      <c r="C6" s="3"/>
      <c r="D6" s="3"/>
      <c r="E6" s="3"/>
      <c r="F6" s="3"/>
      <c r="G6" s="3"/>
    </row>
    <row r="7" ht="14.25" customHeight="1">
      <c r="A7" s="3"/>
      <c r="B7" s="3"/>
      <c r="C7" s="3"/>
      <c r="D7" s="3"/>
      <c r="E7" s="3"/>
      <c r="F7" s="3"/>
      <c r="G7" s="3"/>
    </row>
    <row r="8" ht="14.25" customHeight="1">
      <c r="A8" s="3" t="s">
        <v>13</v>
      </c>
      <c r="B8" s="3"/>
      <c r="C8" s="3"/>
      <c r="D8" s="3"/>
      <c r="E8" s="3"/>
      <c r="F8" s="3"/>
      <c r="G8" s="3"/>
    </row>
    <row r="9" ht="14.25" customHeight="1">
      <c r="A9" s="3" t="s">
        <v>16</v>
      </c>
      <c r="B9" s="3"/>
      <c r="C9" s="3"/>
      <c r="D9" s="3"/>
      <c r="E9" s="3"/>
      <c r="F9" s="3"/>
      <c r="G9" s="3"/>
    </row>
    <row r="10" ht="14.25" customHeight="1">
      <c r="A10" s="3" t="s">
        <v>17</v>
      </c>
      <c r="B10" s="3"/>
      <c r="C10" s="3"/>
      <c r="D10" s="3"/>
      <c r="E10" s="3"/>
      <c r="F10" s="3"/>
      <c r="G10" s="3"/>
    </row>
    <row r="11" ht="14.25" customHeight="1">
      <c r="A11" s="3" t="s">
        <v>12</v>
      </c>
      <c r="B11" s="3"/>
      <c r="C11" s="3"/>
      <c r="D11" s="3"/>
      <c r="E11" s="3"/>
      <c r="F11" s="3"/>
      <c r="G11" s="3"/>
    </row>
    <row r="12" ht="14.25" customHeight="1">
      <c r="A12" s="3"/>
      <c r="B12" s="3"/>
      <c r="C12" s="3"/>
      <c r="D12" s="3"/>
      <c r="E12" s="3"/>
      <c r="F12" s="3"/>
      <c r="G12" s="3"/>
    </row>
    <row r="13" ht="14.25" customHeight="1">
      <c r="A13" s="3"/>
      <c r="B13" s="3"/>
      <c r="C13" s="3"/>
      <c r="D13" s="3"/>
      <c r="E13" s="3"/>
      <c r="F13" s="3"/>
      <c r="G13" s="3"/>
    </row>
    <row r="14" ht="14.25" customHeight="1">
      <c r="A14" s="3" t="s">
        <v>18</v>
      </c>
      <c r="B14" s="3"/>
      <c r="C14" s="3"/>
      <c r="D14" s="3"/>
      <c r="E14" s="3"/>
      <c r="F14" s="3"/>
      <c r="G14" s="3"/>
    </row>
    <row r="15" ht="14.25" customHeight="1">
      <c r="A15" s="3"/>
      <c r="B15" s="3"/>
      <c r="C15" s="3"/>
      <c r="D15" s="3"/>
      <c r="E15" s="3"/>
      <c r="F15" s="3"/>
      <c r="G15" s="3"/>
    </row>
    <row r="16" ht="14.25" customHeight="1">
      <c r="A16" s="6" t="s">
        <v>19</v>
      </c>
      <c r="B16" s="3"/>
      <c r="C16" s="3"/>
      <c r="D16" s="3"/>
      <c r="E16" s="3"/>
      <c r="F16" s="3"/>
      <c r="G16" s="3"/>
    </row>
    <row r="17" ht="14.25" customHeight="1">
      <c r="A17" s="7" t="s">
        <v>20</v>
      </c>
      <c r="B17" s="2" t="s">
        <v>21</v>
      </c>
      <c r="C17" s="3"/>
      <c r="D17" s="8" t="s">
        <v>22</v>
      </c>
      <c r="E17" s="3"/>
      <c r="F17" s="3"/>
      <c r="G17" s="3"/>
    </row>
    <row r="18" ht="14.25" customHeight="1">
      <c r="A18" s="7" t="s">
        <v>23</v>
      </c>
      <c r="B18" s="2" t="s">
        <v>24</v>
      </c>
      <c r="C18" s="3"/>
      <c r="E18" s="3"/>
      <c r="F18" s="3"/>
      <c r="G18" s="3"/>
    </row>
    <row r="19" ht="14.25" customHeight="1">
      <c r="A19" s="7" t="s">
        <v>25</v>
      </c>
      <c r="B19" s="3"/>
      <c r="C19" s="3"/>
      <c r="D19" s="8" t="s">
        <v>26</v>
      </c>
      <c r="E19" s="3"/>
      <c r="F19" s="3"/>
      <c r="G19" s="3"/>
    </row>
    <row r="20" ht="14.25" customHeight="1">
      <c r="A20" s="7" t="s">
        <v>27</v>
      </c>
      <c r="B20" s="3"/>
      <c r="C20" s="3"/>
      <c r="D20" s="8" t="s">
        <v>28</v>
      </c>
      <c r="E20" s="3"/>
      <c r="F20" s="3"/>
      <c r="G20" s="3"/>
    </row>
    <row r="21" ht="14.25" customHeight="1">
      <c r="A21" s="7"/>
      <c r="B21" s="3"/>
      <c r="C21" s="3"/>
      <c r="E21" s="3"/>
      <c r="F21" s="3"/>
      <c r="G21" s="3"/>
    </row>
    <row r="22" ht="14.25" customHeight="1">
      <c r="A22" s="7" t="s">
        <v>29</v>
      </c>
      <c r="B22" s="3"/>
      <c r="C22" s="3"/>
      <c r="D22" s="8" t="s">
        <v>30</v>
      </c>
      <c r="E22" s="3"/>
      <c r="F22" s="3"/>
      <c r="G22" s="3"/>
    </row>
    <row r="23" ht="14.25" customHeight="1">
      <c r="A23" s="7"/>
      <c r="B23" s="3"/>
      <c r="C23" s="3"/>
      <c r="D23" s="3"/>
      <c r="E23" s="3"/>
      <c r="F23" s="3"/>
      <c r="G23" s="3"/>
    </row>
    <row r="24" ht="14.25" customHeight="1">
      <c r="A24" s="7" t="s">
        <v>31</v>
      </c>
      <c r="B24" s="3"/>
      <c r="C24" s="3"/>
      <c r="D24" s="3"/>
      <c r="E24" s="3"/>
      <c r="F24" s="3"/>
      <c r="G24" s="3"/>
    </row>
    <row r="25" ht="14.25" customHeight="1">
      <c r="A25" s="7" t="s">
        <v>32</v>
      </c>
      <c r="B25" s="3"/>
      <c r="C25" s="3"/>
      <c r="D25" s="3"/>
      <c r="E25" s="3"/>
      <c r="F25" s="3"/>
      <c r="G25" s="3"/>
    </row>
    <row r="26" ht="14.25" customHeight="1">
      <c r="A26" s="7" t="s">
        <v>33</v>
      </c>
      <c r="B26" s="3"/>
      <c r="C26" s="3"/>
      <c r="D26" s="3"/>
      <c r="E26" s="3"/>
      <c r="F26" s="3"/>
      <c r="G26" s="3"/>
    </row>
    <row r="27" ht="14.25" customHeight="1">
      <c r="A27" s="7"/>
      <c r="B27" s="3"/>
      <c r="C27" s="3"/>
      <c r="D27" s="3"/>
      <c r="E27" s="3"/>
      <c r="F27" s="3"/>
      <c r="G27" s="3"/>
    </row>
    <row r="28" ht="14.25" customHeight="1">
      <c r="A28" s="6" t="s">
        <v>34</v>
      </c>
      <c r="B28" s="3"/>
      <c r="C28" s="3"/>
      <c r="D28" s="3"/>
      <c r="E28" s="3"/>
      <c r="F28" s="3"/>
      <c r="G28" s="3"/>
    </row>
    <row r="29" ht="14.25" customHeight="1">
      <c r="A29" s="7" t="s">
        <v>35</v>
      </c>
      <c r="B29" s="2" t="s">
        <v>36</v>
      </c>
      <c r="C29" s="3"/>
      <c r="D29" s="3"/>
      <c r="E29" s="3"/>
      <c r="F29" s="3"/>
      <c r="G29" s="3"/>
    </row>
    <row r="30" ht="14.25" customHeight="1">
      <c r="A30" s="7" t="s">
        <v>37</v>
      </c>
      <c r="B30" s="2" t="s">
        <v>38</v>
      </c>
      <c r="C30" s="3"/>
      <c r="D30" s="3"/>
      <c r="E30" s="3"/>
      <c r="F30" s="3"/>
      <c r="G30" s="3"/>
    </row>
    <row r="31" ht="14.25" customHeight="1">
      <c r="A31" s="7" t="s">
        <v>39</v>
      </c>
      <c r="B31" s="3"/>
      <c r="C31" s="3"/>
      <c r="D31" s="3"/>
      <c r="E31" s="3"/>
      <c r="F31" s="3"/>
      <c r="G31" s="3"/>
    </row>
    <row r="32" ht="14.25" customHeight="1">
      <c r="A32" s="7" t="s">
        <v>40</v>
      </c>
      <c r="B32" s="3"/>
      <c r="C32" s="3"/>
      <c r="D32" s="3"/>
      <c r="E32" s="3"/>
      <c r="F32" s="3"/>
      <c r="G32" s="3"/>
    </row>
    <row r="33" ht="14.25" customHeight="1">
      <c r="A33" s="7" t="s">
        <v>41</v>
      </c>
      <c r="B33" s="3"/>
      <c r="C33" s="3"/>
      <c r="D33" s="3"/>
      <c r="E33" s="3"/>
      <c r="F33" s="3"/>
      <c r="G33" s="3"/>
    </row>
    <row r="34" ht="14.25" customHeight="1">
      <c r="A34" s="7" t="s">
        <v>42</v>
      </c>
      <c r="B34" s="3"/>
      <c r="C34" s="3"/>
      <c r="D34" s="3"/>
      <c r="E34" s="3"/>
      <c r="F34" s="3"/>
      <c r="G34" s="3"/>
    </row>
    <row r="35" ht="14.25" customHeight="1">
      <c r="A35" s="7" t="s">
        <v>43</v>
      </c>
      <c r="B35" s="3"/>
      <c r="C35" s="3"/>
      <c r="D35" s="3"/>
      <c r="E35" s="3"/>
      <c r="F35" s="3"/>
      <c r="G35" s="3"/>
    </row>
    <row r="36" ht="14.25" customHeight="1">
      <c r="A36" s="7" t="s">
        <v>44</v>
      </c>
      <c r="B36" s="3"/>
      <c r="C36" s="3"/>
      <c r="D36" s="3"/>
      <c r="E36" s="3"/>
      <c r="F36" s="3"/>
      <c r="G36" s="3"/>
    </row>
    <row r="37" ht="14.25" customHeight="1">
      <c r="A37" s="7" t="s">
        <v>45</v>
      </c>
      <c r="B37" s="3"/>
      <c r="C37" s="3"/>
      <c r="D37" s="3"/>
      <c r="E37" s="3"/>
      <c r="F37" s="3"/>
      <c r="G37" s="3"/>
    </row>
    <row r="38" ht="14.25" customHeight="1">
      <c r="A38" s="7" t="s">
        <v>46</v>
      </c>
      <c r="B38" s="3"/>
      <c r="C38" s="3"/>
      <c r="D38" s="3"/>
      <c r="E38" s="3"/>
      <c r="F38" s="3"/>
      <c r="G38" s="3"/>
    </row>
    <row r="39" ht="14.25" customHeight="1">
      <c r="A39" s="7"/>
      <c r="B39" s="3"/>
      <c r="C39" s="3"/>
      <c r="D39" s="3"/>
      <c r="E39" s="3"/>
      <c r="F39" s="3"/>
      <c r="G39" s="3"/>
    </row>
    <row r="40" ht="14.25" customHeight="1">
      <c r="A40" s="3"/>
      <c r="B40" s="3"/>
      <c r="C40" s="3"/>
      <c r="D40" s="3"/>
      <c r="E40" s="3"/>
      <c r="F40" s="3"/>
      <c r="G40" s="3"/>
    </row>
    <row r="41" ht="14.25" customHeight="1">
      <c r="A41" s="3"/>
      <c r="B41" s="3"/>
      <c r="C41" s="3"/>
      <c r="D41" s="3"/>
      <c r="E41" s="3"/>
      <c r="F41" s="3"/>
      <c r="G41" s="3"/>
    </row>
    <row r="42" ht="14.25" customHeight="1">
      <c r="A42" s="3"/>
      <c r="B42" s="3"/>
      <c r="C42" s="3"/>
      <c r="D42" s="3"/>
      <c r="E42" s="3"/>
      <c r="F42" s="3"/>
      <c r="G42" s="3"/>
    </row>
    <row r="43" ht="14.25" customHeight="1">
      <c r="A43" s="3"/>
      <c r="B43" s="3"/>
      <c r="C43" s="3"/>
      <c r="D43" s="3"/>
      <c r="E43" s="3"/>
      <c r="F43" s="3"/>
      <c r="G43" s="3"/>
    </row>
    <row r="44" ht="14.25" customHeight="1">
      <c r="A44" s="3"/>
      <c r="B44" s="3"/>
      <c r="C44" s="3"/>
      <c r="D44" s="3"/>
      <c r="E44" s="3"/>
      <c r="F44" s="3"/>
      <c r="G44" s="3"/>
    </row>
    <row r="45" ht="14.25" customHeight="1">
      <c r="A45" s="3"/>
      <c r="B45" s="3"/>
      <c r="C45" s="3"/>
      <c r="D45" s="3"/>
      <c r="E45" s="3"/>
      <c r="F45" s="3"/>
      <c r="G45" s="3"/>
    </row>
    <row r="46" ht="14.25" customHeight="1">
      <c r="A46" s="3"/>
      <c r="B46" s="3"/>
      <c r="C46" s="3"/>
      <c r="D46" s="3"/>
      <c r="E46" s="3"/>
      <c r="F46" s="3"/>
      <c r="G46" s="3"/>
    </row>
    <row r="47" ht="14.25" customHeight="1">
      <c r="A47" s="3"/>
      <c r="B47" s="3"/>
      <c r="C47" s="3"/>
      <c r="D47" s="3"/>
      <c r="E47" s="3"/>
      <c r="F47" s="3"/>
      <c r="G47" s="3"/>
    </row>
    <row r="48" ht="14.25" customHeight="1">
      <c r="A48" s="3"/>
      <c r="B48" s="3"/>
      <c r="C48" s="3"/>
      <c r="D48" s="3"/>
      <c r="E48" s="3"/>
      <c r="F48" s="3"/>
      <c r="G48" s="3"/>
    </row>
    <row r="49" ht="14.25" customHeight="1">
      <c r="A49" s="3"/>
      <c r="B49" s="3"/>
      <c r="C49" s="3"/>
      <c r="D49" s="3"/>
      <c r="E49" s="3"/>
      <c r="F49" s="3"/>
      <c r="G49" s="3"/>
    </row>
    <row r="50" ht="14.25" customHeight="1">
      <c r="A50" s="3"/>
      <c r="B50" s="3"/>
      <c r="C50" s="3"/>
      <c r="D50" s="3"/>
      <c r="E50" s="3"/>
      <c r="F50" s="3"/>
      <c r="G50" s="3"/>
    </row>
    <row r="51" ht="14.25" customHeight="1">
      <c r="A51" s="3"/>
      <c r="B51" s="3"/>
      <c r="C51" s="3"/>
      <c r="D51" s="3"/>
      <c r="E51" s="3"/>
      <c r="F51" s="3"/>
      <c r="G51" s="3"/>
    </row>
    <row r="52" ht="14.25" customHeight="1">
      <c r="A52" s="3"/>
      <c r="B52" s="3"/>
      <c r="C52" s="3"/>
      <c r="D52" s="3"/>
      <c r="E52" s="3"/>
      <c r="F52" s="3"/>
      <c r="G52" s="3"/>
    </row>
    <row r="53" ht="14.25" customHeight="1">
      <c r="A53" s="3"/>
      <c r="B53" s="3"/>
      <c r="C53" s="3"/>
      <c r="D53" s="3"/>
      <c r="E53" s="3"/>
      <c r="F53" s="3"/>
      <c r="G53"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57"/>
    <col customWidth="1" min="2" max="26" width="10.71"/>
  </cols>
  <sheetData>
    <row r="1" ht="14.25" customHeight="1">
      <c r="A1" s="9" t="s">
        <v>47</v>
      </c>
    </row>
    <row r="2" ht="14.25" customHeight="1">
      <c r="A2" s="8" t="s">
        <v>48</v>
      </c>
    </row>
    <row r="3" ht="14.25" customHeight="1">
      <c r="A3" s="9" t="s">
        <v>49</v>
      </c>
    </row>
    <row r="4" ht="14.25" customHeight="1">
      <c r="A4" s="9" t="s">
        <v>50</v>
      </c>
    </row>
    <row r="5" ht="14.25" customHeight="1">
      <c r="A5" s="9" t="s">
        <v>51</v>
      </c>
    </row>
    <row r="6" ht="14.25" customHeight="1"/>
    <row r="7" ht="14.25" customHeight="1">
      <c r="A7" s="2" t="s">
        <v>52</v>
      </c>
    </row>
    <row r="8" ht="14.25" customHeight="1"/>
    <row r="9" ht="14.25" customHeight="1">
      <c r="A9" s="2" t="s">
        <v>53</v>
      </c>
    </row>
    <row r="10" ht="14.25" customHeight="1">
      <c r="A10" s="10"/>
    </row>
    <row r="11" ht="14.25" customHeight="1">
      <c r="A11" s="2" t="s">
        <v>54</v>
      </c>
    </row>
    <row r="12" ht="14.25" customHeight="1">
      <c r="A12" s="10"/>
    </row>
    <row r="13" ht="14.25" customHeight="1">
      <c r="A13" s="2" t="s">
        <v>55</v>
      </c>
    </row>
    <row r="14" ht="14.25" customHeight="1">
      <c r="A14" s="2" t="s">
        <v>56</v>
      </c>
    </row>
    <row r="15" ht="14.25" customHeight="1">
      <c r="A15" s="2" t="s">
        <v>57</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4.0"/>
    <col customWidth="1" min="3" max="26" width="10.71"/>
  </cols>
  <sheetData>
    <row r="1" ht="14.25" customHeight="1">
      <c r="A1" s="8" t="s">
        <v>58</v>
      </c>
    </row>
    <row r="2" ht="14.25" customHeight="1">
      <c r="A2" s="9" t="s">
        <v>59</v>
      </c>
    </row>
    <row r="3" ht="14.25" customHeight="1">
      <c r="A3" s="9" t="s">
        <v>60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5.43"/>
    <col customWidth="1" min="3" max="4" width="10.71"/>
    <col customWidth="1" min="5" max="5" width="19.57"/>
    <col customWidth="1" min="6" max="6" width="39.29"/>
    <col customWidth="1" min="7" max="7" width="41.86"/>
    <col customWidth="1" min="8" max="8" width="40.0"/>
    <col customWidth="1" min="9" max="9" width="36.57"/>
    <col customWidth="1" min="10" max="10" width="34.57"/>
    <col customWidth="1" min="11" max="11" width="34.0"/>
    <col customWidth="1" min="12" max="26" width="10.71"/>
  </cols>
  <sheetData>
    <row r="1" ht="65.25" customHeight="1">
      <c r="A1" s="11" t="s">
        <v>61</v>
      </c>
      <c r="B1" s="11" t="s">
        <v>62</v>
      </c>
      <c r="C1" s="11" t="s">
        <v>63</v>
      </c>
      <c r="D1" s="11" t="s">
        <v>64</v>
      </c>
      <c r="E1" s="11" t="s">
        <v>65</v>
      </c>
      <c r="F1" s="12" t="s">
        <v>66</v>
      </c>
      <c r="G1" s="13" t="s">
        <v>67</v>
      </c>
      <c r="H1" s="12" t="s">
        <v>68</v>
      </c>
      <c r="I1" s="12" t="s">
        <v>69</v>
      </c>
      <c r="J1" s="12" t="s">
        <v>70</v>
      </c>
      <c r="K1" s="12" t="s">
        <v>71</v>
      </c>
    </row>
    <row r="2" ht="14.25" customHeight="1">
      <c r="A2" s="14">
        <v>1.0</v>
      </c>
      <c r="B2" s="15" t="s">
        <v>72</v>
      </c>
      <c r="C2" s="15" t="s">
        <v>73</v>
      </c>
      <c r="D2" s="15" t="s">
        <v>74</v>
      </c>
      <c r="E2" s="15" t="s">
        <v>75</v>
      </c>
      <c r="F2" s="15" t="s">
        <v>76</v>
      </c>
      <c r="G2" s="15" t="s">
        <v>77</v>
      </c>
      <c r="H2" s="15" t="s">
        <v>78</v>
      </c>
      <c r="I2" s="15" t="s">
        <v>79</v>
      </c>
      <c r="J2" s="15" t="s">
        <v>80</v>
      </c>
      <c r="K2" s="15" t="s">
        <v>81</v>
      </c>
      <c r="L2" s="16"/>
      <c r="M2" s="16"/>
      <c r="N2" s="16"/>
      <c r="O2" s="16"/>
      <c r="P2" s="16"/>
      <c r="Q2" s="16"/>
      <c r="R2" s="16"/>
      <c r="S2" s="17"/>
      <c r="T2" s="17"/>
      <c r="U2" s="17"/>
    </row>
    <row r="3" ht="14.25" customHeight="1">
      <c r="A3" s="14">
        <v>2.0</v>
      </c>
      <c r="B3" s="15" t="s">
        <v>82</v>
      </c>
      <c r="C3" s="15" t="s">
        <v>83</v>
      </c>
      <c r="D3" s="15" t="s">
        <v>84</v>
      </c>
      <c r="E3" s="15" t="s">
        <v>85</v>
      </c>
      <c r="F3" s="15" t="s">
        <v>86</v>
      </c>
      <c r="G3" s="15" t="s">
        <v>87</v>
      </c>
      <c r="H3" s="15" t="s">
        <v>88</v>
      </c>
      <c r="I3" s="15" t="s">
        <v>89</v>
      </c>
      <c r="J3" s="15" t="s">
        <v>90</v>
      </c>
      <c r="K3" s="15" t="s">
        <v>91</v>
      </c>
      <c r="L3" s="16"/>
      <c r="M3" s="16"/>
      <c r="N3" s="16"/>
      <c r="O3" s="16"/>
      <c r="P3" s="16"/>
      <c r="Q3" s="16"/>
      <c r="R3" s="16"/>
      <c r="S3" s="17"/>
      <c r="T3" s="17"/>
      <c r="U3" s="17"/>
    </row>
    <row r="4" ht="14.25" customHeight="1">
      <c r="A4" s="14">
        <v>3.0</v>
      </c>
      <c r="B4" s="15" t="s">
        <v>92</v>
      </c>
      <c r="C4" s="15" t="s">
        <v>93</v>
      </c>
      <c r="D4" s="15" t="s">
        <v>94</v>
      </c>
      <c r="E4" s="18" t="s">
        <v>95</v>
      </c>
      <c r="F4" s="15" t="s">
        <v>96</v>
      </c>
      <c r="G4" s="15" t="s">
        <v>97</v>
      </c>
      <c r="H4" s="15" t="s">
        <v>98</v>
      </c>
      <c r="I4" s="15" t="s">
        <v>99</v>
      </c>
      <c r="J4" s="15" t="s">
        <v>100</v>
      </c>
      <c r="K4" s="15" t="s">
        <v>101</v>
      </c>
      <c r="L4" s="16"/>
      <c r="M4" s="16"/>
      <c r="N4" s="16"/>
      <c r="O4" s="16"/>
      <c r="P4" s="16"/>
      <c r="Q4" s="16"/>
      <c r="R4" s="16"/>
      <c r="S4" s="17"/>
      <c r="T4" s="17"/>
      <c r="U4" s="17"/>
    </row>
    <row r="5" ht="14.25" customHeight="1">
      <c r="A5" s="14">
        <v>4.0</v>
      </c>
      <c r="B5" s="15" t="s">
        <v>102</v>
      </c>
      <c r="C5" s="15" t="s">
        <v>103</v>
      </c>
      <c r="D5" s="15" t="s">
        <v>104</v>
      </c>
      <c r="E5" s="15" t="s">
        <v>105</v>
      </c>
      <c r="F5" s="15" t="s">
        <v>106</v>
      </c>
      <c r="G5" s="15" t="s">
        <v>107</v>
      </c>
      <c r="H5" s="15" t="s">
        <v>108</v>
      </c>
      <c r="I5" s="15" t="s">
        <v>109</v>
      </c>
      <c r="J5" s="15" t="s">
        <v>110</v>
      </c>
      <c r="K5" s="15" t="s">
        <v>111</v>
      </c>
      <c r="L5" s="16"/>
      <c r="M5" s="16"/>
      <c r="N5" s="16"/>
      <c r="O5" s="16"/>
      <c r="P5" s="16"/>
      <c r="Q5" s="16"/>
      <c r="R5" s="16"/>
      <c r="S5" s="17"/>
      <c r="T5" s="17"/>
      <c r="U5" s="17"/>
    </row>
    <row r="6" ht="14.25" customHeight="1">
      <c r="A6" s="14">
        <v>5.0</v>
      </c>
      <c r="B6" s="15" t="s">
        <v>112</v>
      </c>
      <c r="C6" s="15" t="s">
        <v>113</v>
      </c>
      <c r="D6" s="15" t="s">
        <v>94</v>
      </c>
      <c r="E6" s="15" t="s">
        <v>114</v>
      </c>
      <c r="F6" s="15" t="s">
        <v>115</v>
      </c>
      <c r="G6" s="15" t="s">
        <v>116</v>
      </c>
      <c r="H6" s="15" t="s">
        <v>117</v>
      </c>
      <c r="I6" s="15" t="s">
        <v>118</v>
      </c>
      <c r="J6" s="15" t="s">
        <v>119</v>
      </c>
      <c r="K6" s="15" t="s">
        <v>120</v>
      </c>
      <c r="L6" s="16"/>
      <c r="M6" s="16"/>
      <c r="N6" s="16"/>
      <c r="O6" s="16"/>
      <c r="P6" s="16"/>
      <c r="Q6" s="16"/>
      <c r="R6" s="16"/>
      <c r="S6" s="17"/>
      <c r="T6" s="17"/>
      <c r="U6" s="17"/>
    </row>
    <row r="7" ht="14.25" customHeight="1">
      <c r="A7" s="14">
        <v>6.0</v>
      </c>
      <c r="B7" s="15" t="s">
        <v>121</v>
      </c>
      <c r="C7" s="15" t="s">
        <v>122</v>
      </c>
      <c r="D7" s="15" t="s">
        <v>123</v>
      </c>
      <c r="E7" s="15" t="s">
        <v>124</v>
      </c>
      <c r="F7" s="15" t="s">
        <v>125</v>
      </c>
      <c r="G7" s="15" t="s">
        <v>126</v>
      </c>
      <c r="H7" s="15" t="s">
        <v>127</v>
      </c>
      <c r="I7" s="15" t="s">
        <v>128</v>
      </c>
      <c r="J7" s="15" t="s">
        <v>129</v>
      </c>
      <c r="K7" s="15" t="s">
        <v>130</v>
      </c>
      <c r="L7" s="16"/>
      <c r="M7" s="16"/>
      <c r="N7" s="16"/>
      <c r="O7" s="16"/>
      <c r="P7" s="16"/>
      <c r="Q7" s="16"/>
      <c r="R7" s="16"/>
      <c r="S7" s="17"/>
      <c r="T7" s="17"/>
      <c r="U7" s="17"/>
    </row>
    <row r="8" ht="14.25" customHeight="1">
      <c r="A8" s="14">
        <v>7.0</v>
      </c>
      <c r="B8" s="15" t="s">
        <v>131</v>
      </c>
      <c r="C8" s="15" t="s">
        <v>132</v>
      </c>
      <c r="D8" s="15" t="s">
        <v>133</v>
      </c>
      <c r="E8" s="15" t="s">
        <v>134</v>
      </c>
      <c r="F8" s="15" t="s">
        <v>135</v>
      </c>
      <c r="G8" s="15" t="s">
        <v>136</v>
      </c>
      <c r="H8" s="15" t="s">
        <v>137</v>
      </c>
      <c r="I8" s="15" t="s">
        <v>138</v>
      </c>
      <c r="J8" s="15" t="s">
        <v>139</v>
      </c>
      <c r="K8" s="15" t="s">
        <v>140</v>
      </c>
      <c r="L8" s="16"/>
      <c r="M8" s="16"/>
      <c r="N8" s="16"/>
      <c r="O8" s="16"/>
      <c r="P8" s="16"/>
      <c r="Q8" s="16"/>
      <c r="R8" s="16"/>
      <c r="S8" s="17"/>
      <c r="T8" s="17"/>
      <c r="U8" s="17"/>
    </row>
    <row r="9" ht="14.25" customHeight="1">
      <c r="A9" s="14">
        <v>8.0</v>
      </c>
      <c r="B9" s="15" t="s">
        <v>141</v>
      </c>
      <c r="C9" s="15" t="s">
        <v>142</v>
      </c>
      <c r="D9" s="15" t="s">
        <v>84</v>
      </c>
      <c r="E9" s="15" t="s">
        <v>143</v>
      </c>
      <c r="F9" s="15" t="s">
        <v>144</v>
      </c>
      <c r="G9" s="15" t="s">
        <v>145</v>
      </c>
      <c r="H9" s="15" t="s">
        <v>146</v>
      </c>
      <c r="I9" s="15" t="s">
        <v>147</v>
      </c>
      <c r="J9" s="15" t="s">
        <v>148</v>
      </c>
      <c r="K9" s="15" t="s">
        <v>149</v>
      </c>
      <c r="L9" s="16"/>
      <c r="M9" s="16"/>
      <c r="N9" s="16"/>
      <c r="O9" s="16"/>
      <c r="P9" s="16"/>
      <c r="Q9" s="16"/>
      <c r="R9" s="16"/>
      <c r="S9" s="17"/>
      <c r="T9" s="17"/>
      <c r="U9" s="17"/>
    </row>
    <row r="10" ht="14.25" customHeight="1">
      <c r="A10" s="14">
        <v>9.0</v>
      </c>
      <c r="B10" s="15" t="s">
        <v>150</v>
      </c>
      <c r="C10" s="15" t="s">
        <v>151</v>
      </c>
      <c r="D10" s="15" t="s">
        <v>152</v>
      </c>
      <c r="E10" s="15" t="s">
        <v>153</v>
      </c>
      <c r="F10" s="15" t="s">
        <v>154</v>
      </c>
      <c r="G10" s="15" t="s">
        <v>155</v>
      </c>
      <c r="H10" s="15" t="s">
        <v>156</v>
      </c>
      <c r="I10" s="15" t="s">
        <v>157</v>
      </c>
      <c r="J10" s="15" t="s">
        <v>158</v>
      </c>
      <c r="K10" s="15" t="s">
        <v>159</v>
      </c>
      <c r="L10" s="16"/>
      <c r="M10" s="16"/>
      <c r="N10" s="16"/>
      <c r="O10" s="16"/>
      <c r="P10" s="16"/>
      <c r="Q10" s="16"/>
      <c r="R10" s="16"/>
      <c r="S10" s="17"/>
      <c r="T10" s="17"/>
      <c r="U10" s="17"/>
    </row>
    <row r="11" ht="14.25" customHeight="1">
      <c r="A11" s="14">
        <v>10.0</v>
      </c>
      <c r="B11" s="15" t="s">
        <v>160</v>
      </c>
      <c r="C11" s="15" t="s">
        <v>161</v>
      </c>
      <c r="D11" s="15" t="s">
        <v>162</v>
      </c>
      <c r="E11" s="15" t="s">
        <v>163</v>
      </c>
      <c r="F11" s="15" t="s">
        <v>164</v>
      </c>
      <c r="G11" s="15" t="s">
        <v>165</v>
      </c>
      <c r="H11" s="15" t="s">
        <v>166</v>
      </c>
      <c r="I11" s="15" t="s">
        <v>167</v>
      </c>
      <c r="J11" s="15" t="s">
        <v>168</v>
      </c>
      <c r="K11" s="15" t="s">
        <v>169</v>
      </c>
      <c r="L11" s="16"/>
      <c r="M11" s="16"/>
      <c r="N11" s="16"/>
      <c r="O11" s="16"/>
      <c r="P11" s="16"/>
      <c r="Q11" s="16"/>
      <c r="R11" s="16"/>
      <c r="S11" s="17"/>
      <c r="T11" s="17"/>
      <c r="U11" s="17"/>
    </row>
    <row r="12" ht="14.25" customHeight="1">
      <c r="A12" s="14">
        <v>11.0</v>
      </c>
      <c r="B12" s="15" t="s">
        <v>170</v>
      </c>
      <c r="C12" s="15" t="s">
        <v>171</v>
      </c>
      <c r="D12" s="15" t="s">
        <v>94</v>
      </c>
      <c r="E12" s="15" t="s">
        <v>172</v>
      </c>
      <c r="F12" s="15" t="s">
        <v>173</v>
      </c>
      <c r="G12" s="15" t="s">
        <v>174</v>
      </c>
      <c r="H12" s="15" t="s">
        <v>175</v>
      </c>
      <c r="I12" s="15" t="s">
        <v>176</v>
      </c>
      <c r="J12" s="15" t="s">
        <v>177</v>
      </c>
      <c r="K12" s="15" t="s">
        <v>178</v>
      </c>
      <c r="L12" s="16"/>
      <c r="M12" s="16"/>
      <c r="N12" s="16"/>
      <c r="O12" s="16"/>
      <c r="P12" s="16"/>
      <c r="Q12" s="16"/>
      <c r="R12" s="16"/>
      <c r="S12" s="17"/>
      <c r="T12" s="17"/>
      <c r="U12" s="17"/>
    </row>
    <row r="13" ht="14.25" customHeight="1">
      <c r="A13" s="14">
        <v>12.0</v>
      </c>
      <c r="B13" s="15" t="s">
        <v>179</v>
      </c>
      <c r="C13" s="15" t="s">
        <v>180</v>
      </c>
      <c r="D13" s="15" t="s">
        <v>94</v>
      </c>
      <c r="E13" s="15" t="s">
        <v>181</v>
      </c>
      <c r="F13" s="15" t="s">
        <v>182</v>
      </c>
      <c r="G13" s="15" t="s">
        <v>183</v>
      </c>
      <c r="H13" s="15" t="s">
        <v>184</v>
      </c>
      <c r="I13" s="15" t="s">
        <v>185</v>
      </c>
      <c r="J13" s="15" t="s">
        <v>186</v>
      </c>
      <c r="K13" s="15" t="s">
        <v>187</v>
      </c>
      <c r="L13" s="16"/>
      <c r="M13" s="16"/>
      <c r="N13" s="16"/>
      <c r="O13" s="16"/>
      <c r="P13" s="16"/>
      <c r="Q13" s="16"/>
      <c r="R13" s="16"/>
      <c r="S13" s="17"/>
      <c r="T13" s="17"/>
      <c r="U13" s="17"/>
    </row>
    <row r="14" ht="14.25" customHeight="1">
      <c r="A14" s="14">
        <v>13.0</v>
      </c>
      <c r="B14" s="15" t="s">
        <v>188</v>
      </c>
      <c r="C14" s="15" t="s">
        <v>189</v>
      </c>
      <c r="D14" s="15" t="s">
        <v>84</v>
      </c>
      <c r="E14" s="15" t="s">
        <v>190</v>
      </c>
      <c r="F14" s="15" t="s">
        <v>191</v>
      </c>
      <c r="G14" s="15" t="s">
        <v>192</v>
      </c>
      <c r="H14" s="15" t="s">
        <v>193</v>
      </c>
      <c r="I14" s="15" t="s">
        <v>194</v>
      </c>
      <c r="J14" s="15" t="s">
        <v>195</v>
      </c>
      <c r="K14" s="15" t="s">
        <v>196</v>
      </c>
      <c r="L14" s="16"/>
      <c r="M14" s="16"/>
      <c r="N14" s="16"/>
      <c r="O14" s="16"/>
      <c r="P14" s="16"/>
      <c r="Q14" s="16"/>
      <c r="R14" s="16"/>
      <c r="S14" s="17"/>
      <c r="T14" s="17"/>
      <c r="U14" s="17"/>
    </row>
    <row r="15" ht="14.25" customHeight="1">
      <c r="A15" s="14">
        <v>14.0</v>
      </c>
      <c r="B15" s="15" t="s">
        <v>197</v>
      </c>
      <c r="C15" s="15" t="s">
        <v>198</v>
      </c>
      <c r="D15" s="15" t="s">
        <v>94</v>
      </c>
      <c r="E15" s="15" t="s">
        <v>199</v>
      </c>
      <c r="F15" s="15" t="s">
        <v>200</v>
      </c>
      <c r="G15" s="15" t="s">
        <v>201</v>
      </c>
      <c r="H15" s="15" t="s">
        <v>202</v>
      </c>
      <c r="I15" s="15" t="s">
        <v>203</v>
      </c>
      <c r="J15" s="15" t="s">
        <v>204</v>
      </c>
      <c r="K15" s="15" t="s">
        <v>205</v>
      </c>
      <c r="L15" s="16"/>
      <c r="M15" s="16"/>
      <c r="N15" s="16"/>
      <c r="O15" s="16"/>
      <c r="P15" s="16"/>
      <c r="Q15" s="16"/>
      <c r="R15" s="16"/>
      <c r="S15" s="17"/>
      <c r="T15" s="17"/>
      <c r="U15" s="17"/>
    </row>
    <row r="16" ht="14.25" customHeight="1">
      <c r="A16" s="14">
        <v>15.0</v>
      </c>
      <c r="B16" s="15" t="s">
        <v>206</v>
      </c>
      <c r="C16" s="15" t="s">
        <v>207</v>
      </c>
      <c r="D16" s="15" t="s">
        <v>123</v>
      </c>
      <c r="E16" s="15" t="s">
        <v>208</v>
      </c>
      <c r="F16" s="15" t="s">
        <v>209</v>
      </c>
      <c r="G16" s="15" t="s">
        <v>210</v>
      </c>
      <c r="H16" s="15" t="s">
        <v>211</v>
      </c>
      <c r="I16" s="15" t="s">
        <v>212</v>
      </c>
      <c r="J16" s="15" t="s">
        <v>213</v>
      </c>
      <c r="K16" s="15" t="s">
        <v>214</v>
      </c>
      <c r="L16" s="15"/>
      <c r="M16" s="15"/>
      <c r="N16" s="15"/>
      <c r="O16" s="15"/>
      <c r="P16" s="15"/>
      <c r="Q16" s="15"/>
      <c r="R16" s="15"/>
      <c r="S16" s="19"/>
      <c r="T16" s="19"/>
      <c r="U16" s="19"/>
      <c r="V16" s="14"/>
      <c r="W16" s="14"/>
      <c r="X16" s="14"/>
      <c r="Y16" s="14"/>
      <c r="Z16" s="14"/>
    </row>
    <row r="17" ht="14.25" customHeight="1">
      <c r="A17" s="14">
        <v>16.0</v>
      </c>
      <c r="B17" s="15" t="s">
        <v>215</v>
      </c>
      <c r="C17" s="15" t="s">
        <v>216</v>
      </c>
      <c r="D17" s="15" t="s">
        <v>217</v>
      </c>
      <c r="E17" s="15" t="s">
        <v>218</v>
      </c>
      <c r="F17" s="15" t="s">
        <v>219</v>
      </c>
      <c r="G17" s="15" t="s">
        <v>220</v>
      </c>
      <c r="H17" s="15" t="s">
        <v>221</v>
      </c>
      <c r="I17" s="15" t="s">
        <v>222</v>
      </c>
      <c r="J17" s="15" t="s">
        <v>223</v>
      </c>
      <c r="K17" s="15" t="s">
        <v>224</v>
      </c>
      <c r="L17" s="15"/>
      <c r="M17" s="15"/>
      <c r="N17" s="15"/>
      <c r="O17" s="15"/>
      <c r="P17" s="15"/>
      <c r="Q17" s="15"/>
      <c r="R17" s="15"/>
      <c r="S17" s="19"/>
      <c r="T17" s="19"/>
      <c r="U17" s="19"/>
      <c r="V17" s="14"/>
      <c r="W17" s="14"/>
      <c r="X17" s="14"/>
      <c r="Y17" s="14"/>
      <c r="Z17" s="14"/>
    </row>
    <row r="18" ht="14.25" customHeight="1">
      <c r="A18" s="14">
        <v>17.0</v>
      </c>
      <c r="B18" s="15" t="s">
        <v>225</v>
      </c>
      <c r="C18" s="15" t="s">
        <v>226</v>
      </c>
      <c r="D18" s="15" t="s">
        <v>217</v>
      </c>
      <c r="E18" s="15" t="s">
        <v>227</v>
      </c>
      <c r="F18" s="15" t="s">
        <v>228</v>
      </c>
      <c r="G18" s="15" t="s">
        <v>229</v>
      </c>
      <c r="H18" s="15" t="s">
        <v>230</v>
      </c>
      <c r="I18" s="15" t="s">
        <v>231</v>
      </c>
      <c r="J18" s="15" t="s">
        <v>232</v>
      </c>
      <c r="K18" s="15" t="s">
        <v>233</v>
      </c>
      <c r="L18" s="15"/>
      <c r="M18" s="15"/>
      <c r="N18" s="15"/>
      <c r="O18" s="15"/>
      <c r="P18" s="15"/>
      <c r="Q18" s="15"/>
      <c r="R18" s="15"/>
      <c r="S18" s="19"/>
      <c r="T18" s="19"/>
      <c r="U18" s="19"/>
      <c r="V18" s="14"/>
      <c r="W18" s="14"/>
      <c r="X18" s="14"/>
      <c r="Y18" s="14"/>
      <c r="Z18" s="14"/>
    </row>
    <row r="19" ht="14.25" customHeight="1">
      <c r="A19" s="14">
        <v>18.0</v>
      </c>
      <c r="B19" s="15" t="s">
        <v>234</v>
      </c>
      <c r="C19" s="15" t="s">
        <v>235</v>
      </c>
      <c r="D19" s="15" t="s">
        <v>94</v>
      </c>
      <c r="E19" s="15" t="s">
        <v>236</v>
      </c>
      <c r="F19" s="15" t="s">
        <v>237</v>
      </c>
      <c r="G19" s="15" t="s">
        <v>238</v>
      </c>
      <c r="H19" s="15" t="s">
        <v>239</v>
      </c>
      <c r="I19" s="15" t="s">
        <v>240</v>
      </c>
      <c r="J19" s="15" t="s">
        <v>241</v>
      </c>
      <c r="K19" s="15" t="s">
        <v>242</v>
      </c>
      <c r="L19" s="15"/>
      <c r="M19" s="15"/>
      <c r="N19" s="15"/>
      <c r="O19" s="15"/>
      <c r="P19" s="15"/>
      <c r="Q19" s="15"/>
      <c r="R19" s="15"/>
      <c r="S19" s="19"/>
      <c r="T19" s="19"/>
      <c r="U19" s="19"/>
      <c r="V19" s="14"/>
      <c r="W19" s="14"/>
      <c r="X19" s="14"/>
      <c r="Y19" s="14"/>
      <c r="Z19" s="14"/>
    </row>
    <row r="20" ht="14.25" customHeight="1">
      <c r="A20" s="14">
        <v>19.0</v>
      </c>
      <c r="B20" s="15" t="s">
        <v>243</v>
      </c>
      <c r="C20" s="15" t="s">
        <v>244</v>
      </c>
      <c r="D20" s="15" t="s">
        <v>245</v>
      </c>
      <c r="E20" s="15" t="s">
        <v>246</v>
      </c>
      <c r="F20" s="15" t="s">
        <v>247</v>
      </c>
      <c r="G20" s="15" t="s">
        <v>248</v>
      </c>
      <c r="H20" s="15" t="s">
        <v>249</v>
      </c>
      <c r="I20" s="15" t="s">
        <v>250</v>
      </c>
      <c r="J20" s="15" t="s">
        <v>251</v>
      </c>
      <c r="K20" s="15" t="s">
        <v>252</v>
      </c>
      <c r="L20" s="15"/>
      <c r="M20" s="15"/>
      <c r="N20" s="15"/>
      <c r="O20" s="15"/>
      <c r="P20" s="15"/>
      <c r="Q20" s="15"/>
      <c r="R20" s="15"/>
      <c r="S20" s="19"/>
      <c r="T20" s="19"/>
      <c r="U20" s="19"/>
      <c r="V20" s="14"/>
      <c r="W20" s="14"/>
      <c r="X20" s="14"/>
      <c r="Y20" s="14"/>
      <c r="Z20" s="14"/>
    </row>
    <row r="21" ht="14.25" customHeight="1">
      <c r="A21" s="14">
        <v>20.0</v>
      </c>
      <c r="B21" s="15" t="s">
        <v>253</v>
      </c>
      <c r="C21" s="15" t="s">
        <v>254</v>
      </c>
      <c r="D21" s="15" t="s">
        <v>123</v>
      </c>
      <c r="E21" s="15" t="s">
        <v>255</v>
      </c>
      <c r="F21" s="15" t="s">
        <v>256</v>
      </c>
      <c r="G21" s="15" t="s">
        <v>257</v>
      </c>
      <c r="H21" s="15" t="s">
        <v>258</v>
      </c>
      <c r="I21" s="15" t="s">
        <v>259</v>
      </c>
      <c r="J21" s="15" t="s">
        <v>260</v>
      </c>
      <c r="K21" s="15" t="s">
        <v>261</v>
      </c>
      <c r="L21" s="15"/>
      <c r="M21" s="15"/>
      <c r="N21" s="15"/>
      <c r="O21" s="15"/>
      <c r="P21" s="15"/>
      <c r="Q21" s="15"/>
      <c r="R21" s="15"/>
      <c r="S21" s="19"/>
      <c r="T21" s="19"/>
      <c r="U21" s="19"/>
      <c r="V21" s="14"/>
      <c r="W21" s="14"/>
      <c r="X21" s="14"/>
      <c r="Y21" s="14"/>
      <c r="Z21" s="14"/>
    </row>
    <row r="22" ht="14.25" customHeight="1">
      <c r="A22" s="14">
        <v>21.0</v>
      </c>
      <c r="B22" s="15" t="s">
        <v>262</v>
      </c>
      <c r="C22" s="15" t="s">
        <v>263</v>
      </c>
      <c r="D22" s="15" t="s">
        <v>94</v>
      </c>
      <c r="E22" s="15" t="s">
        <v>264</v>
      </c>
      <c r="F22" s="15" t="s">
        <v>265</v>
      </c>
      <c r="G22" s="15" t="s">
        <v>266</v>
      </c>
      <c r="H22" s="15" t="s">
        <v>267</v>
      </c>
      <c r="I22" s="15" t="s">
        <v>268</v>
      </c>
      <c r="J22" s="15" t="s">
        <v>269</v>
      </c>
      <c r="K22" s="15" t="s">
        <v>270</v>
      </c>
      <c r="L22" s="15"/>
      <c r="M22" s="15"/>
      <c r="N22" s="15"/>
      <c r="O22" s="15"/>
      <c r="P22" s="15"/>
      <c r="Q22" s="15"/>
      <c r="R22" s="15"/>
      <c r="S22" s="19"/>
      <c r="T22" s="19"/>
      <c r="U22" s="19"/>
      <c r="V22" s="14"/>
      <c r="W22" s="14"/>
      <c r="X22" s="14"/>
      <c r="Y22" s="14"/>
      <c r="Z22" s="14"/>
    </row>
    <row r="23" ht="14.25" customHeight="1">
      <c r="A23" s="16">
        <v>22.0</v>
      </c>
      <c r="B23" s="16" t="s">
        <v>271</v>
      </c>
      <c r="C23" s="16" t="s">
        <v>272</v>
      </c>
      <c r="D23" s="16" t="s">
        <v>273</v>
      </c>
      <c r="E23" s="16" t="s">
        <v>274</v>
      </c>
      <c r="F23" s="16" t="s">
        <v>275</v>
      </c>
      <c r="G23" s="16" t="s">
        <v>276</v>
      </c>
      <c r="H23" s="16" t="s">
        <v>277</v>
      </c>
      <c r="I23" s="16" t="s">
        <v>278</v>
      </c>
      <c r="J23" s="16" t="s">
        <v>279</v>
      </c>
      <c r="K23" s="16" t="s">
        <v>280</v>
      </c>
      <c r="L23" s="16"/>
      <c r="M23" s="16"/>
      <c r="N23" s="16"/>
      <c r="O23" s="16"/>
      <c r="P23" s="16"/>
      <c r="Q23" s="16"/>
      <c r="R23" s="16"/>
      <c r="S23" s="16"/>
      <c r="T23" s="16"/>
      <c r="U23" s="16"/>
      <c r="V23" s="16"/>
      <c r="W23" s="16"/>
      <c r="X23" s="16"/>
      <c r="Y23" s="16"/>
      <c r="Z23" s="16"/>
    </row>
    <row r="24" ht="14.25" customHeight="1">
      <c r="A24" s="16">
        <v>23.0</v>
      </c>
      <c r="B24" s="16" t="s">
        <v>281</v>
      </c>
      <c r="C24" s="16" t="s">
        <v>282</v>
      </c>
      <c r="D24" s="16" t="s">
        <v>217</v>
      </c>
      <c r="E24" s="16" t="s">
        <v>283</v>
      </c>
      <c r="F24" s="16" t="s">
        <v>284</v>
      </c>
      <c r="G24" s="16" t="s">
        <v>285</v>
      </c>
      <c r="H24" s="16" t="s">
        <v>286</v>
      </c>
      <c r="I24" s="16" t="s">
        <v>287</v>
      </c>
      <c r="J24" s="16" t="s">
        <v>288</v>
      </c>
      <c r="K24" s="16" t="s">
        <v>289</v>
      </c>
      <c r="L24" s="16"/>
      <c r="M24" s="16"/>
      <c r="N24" s="16"/>
      <c r="O24" s="16"/>
      <c r="P24" s="16"/>
      <c r="Q24" s="16"/>
      <c r="R24" s="16"/>
      <c r="S24" s="16"/>
      <c r="T24" s="16"/>
      <c r="U24" s="16"/>
      <c r="V24" s="16"/>
      <c r="W24" s="16"/>
      <c r="X24" s="16"/>
      <c r="Y24" s="16"/>
      <c r="Z24" s="16"/>
    </row>
    <row r="25" ht="14.25" customHeight="1">
      <c r="A25" s="16">
        <v>24.0</v>
      </c>
      <c r="B25" s="16" t="s">
        <v>290</v>
      </c>
      <c r="C25" s="16" t="s">
        <v>291</v>
      </c>
      <c r="D25" s="16" t="s">
        <v>217</v>
      </c>
      <c r="E25" s="16" t="s">
        <v>292</v>
      </c>
      <c r="F25" s="16" t="s">
        <v>293</v>
      </c>
      <c r="G25" s="16" t="s">
        <v>294</v>
      </c>
      <c r="H25" s="16" t="s">
        <v>295</v>
      </c>
      <c r="I25" s="16" t="s">
        <v>296</v>
      </c>
      <c r="J25" s="16" t="s">
        <v>297</v>
      </c>
      <c r="K25" s="16" t="s">
        <v>298</v>
      </c>
      <c r="L25" s="16"/>
      <c r="M25" s="16"/>
      <c r="N25" s="16"/>
      <c r="O25" s="16"/>
      <c r="P25" s="16"/>
      <c r="Q25" s="16"/>
      <c r="R25" s="16"/>
      <c r="S25" s="16"/>
      <c r="T25" s="16"/>
      <c r="U25" s="16"/>
      <c r="V25" s="16"/>
      <c r="W25" s="16"/>
      <c r="X25" s="16"/>
      <c r="Y25" s="16"/>
      <c r="Z25" s="16"/>
    </row>
    <row r="26" ht="14.25" customHeight="1">
      <c r="A26" s="16">
        <v>25.0</v>
      </c>
      <c r="B26" s="16" t="s">
        <v>299</v>
      </c>
      <c r="C26" s="16" t="s">
        <v>300</v>
      </c>
      <c r="D26" s="16" t="s">
        <v>273</v>
      </c>
      <c r="E26" s="16" t="s">
        <v>301</v>
      </c>
      <c r="F26" s="16" t="s">
        <v>302</v>
      </c>
      <c r="G26" s="16" t="s">
        <v>303</v>
      </c>
      <c r="H26" s="16" t="s">
        <v>304</v>
      </c>
      <c r="I26" s="16" t="s">
        <v>305</v>
      </c>
      <c r="J26" s="16" t="s">
        <v>306</v>
      </c>
      <c r="K26" s="16" t="s">
        <v>307</v>
      </c>
      <c r="L26" s="16"/>
      <c r="M26" s="16"/>
      <c r="N26" s="16"/>
      <c r="O26" s="16"/>
      <c r="P26" s="16"/>
      <c r="Q26" s="16"/>
      <c r="R26" s="16"/>
      <c r="S26" s="16"/>
      <c r="T26" s="16"/>
      <c r="U26" s="16"/>
      <c r="V26" s="16"/>
      <c r="W26" s="16"/>
      <c r="X26" s="16"/>
      <c r="Y26" s="16"/>
      <c r="Z26" s="16"/>
    </row>
    <row r="27" ht="14.25" customHeight="1">
      <c r="A27" s="16">
        <v>26.0</v>
      </c>
      <c r="B27" s="16" t="s">
        <v>308</v>
      </c>
      <c r="C27" s="16" t="s">
        <v>309</v>
      </c>
      <c r="D27" s="16" t="s">
        <v>94</v>
      </c>
      <c r="E27" s="16" t="s">
        <v>310</v>
      </c>
      <c r="F27" s="16" t="s">
        <v>311</v>
      </c>
      <c r="G27" s="16" t="s">
        <v>312</v>
      </c>
      <c r="H27" s="16" t="s">
        <v>313</v>
      </c>
      <c r="I27" s="16" t="s">
        <v>314</v>
      </c>
      <c r="J27" s="16" t="s">
        <v>315</v>
      </c>
      <c r="K27" s="16" t="s">
        <v>316</v>
      </c>
      <c r="L27" s="16"/>
      <c r="M27" s="16"/>
      <c r="N27" s="16"/>
      <c r="O27" s="16"/>
      <c r="P27" s="16"/>
      <c r="Q27" s="16"/>
      <c r="R27" s="16"/>
      <c r="S27" s="16"/>
      <c r="T27" s="16"/>
      <c r="U27" s="16"/>
      <c r="V27" s="16"/>
      <c r="W27" s="16"/>
      <c r="X27" s="16"/>
      <c r="Y27" s="16"/>
      <c r="Z27" s="16"/>
    </row>
    <row r="28" ht="14.25" customHeight="1">
      <c r="A28" s="16">
        <v>27.0</v>
      </c>
      <c r="B28" s="16" t="s">
        <v>317</v>
      </c>
      <c r="C28" s="16" t="s">
        <v>318</v>
      </c>
      <c r="D28" s="16" t="s">
        <v>217</v>
      </c>
      <c r="E28" s="16" t="s">
        <v>319</v>
      </c>
      <c r="F28" s="16" t="s">
        <v>320</v>
      </c>
      <c r="G28" s="16" t="s">
        <v>321</v>
      </c>
      <c r="H28" s="16" t="s">
        <v>322</v>
      </c>
      <c r="I28" s="16" t="s">
        <v>323</v>
      </c>
      <c r="J28" s="16" t="s">
        <v>324</v>
      </c>
      <c r="K28" s="16" t="s">
        <v>325</v>
      </c>
      <c r="L28" s="16"/>
      <c r="M28" s="16"/>
      <c r="N28" s="16"/>
      <c r="O28" s="16"/>
      <c r="P28" s="16"/>
      <c r="Q28" s="16"/>
      <c r="R28" s="16"/>
      <c r="S28" s="16"/>
      <c r="T28" s="16"/>
      <c r="U28" s="16"/>
      <c r="V28" s="16"/>
      <c r="W28" s="16"/>
      <c r="X28" s="16"/>
      <c r="Y28" s="16"/>
      <c r="Z28" s="16"/>
    </row>
    <row r="29" ht="14.25" customHeight="1">
      <c r="A29" s="16">
        <v>28.0</v>
      </c>
      <c r="B29" s="16" t="s">
        <v>326</v>
      </c>
      <c r="C29" s="16" t="s">
        <v>327</v>
      </c>
      <c r="D29" s="16" t="s">
        <v>328</v>
      </c>
      <c r="E29" s="16" t="s">
        <v>329</v>
      </c>
      <c r="F29" s="16" t="s">
        <v>330</v>
      </c>
      <c r="G29" s="16" t="s">
        <v>331</v>
      </c>
      <c r="H29" s="16" t="s">
        <v>332</v>
      </c>
      <c r="I29" s="16" t="s">
        <v>333</v>
      </c>
      <c r="J29" s="16" t="s">
        <v>334</v>
      </c>
      <c r="K29" s="16" t="s">
        <v>335</v>
      </c>
      <c r="L29" s="16"/>
      <c r="M29" s="16"/>
      <c r="N29" s="16"/>
      <c r="O29" s="16"/>
      <c r="P29" s="16"/>
      <c r="Q29" s="16"/>
      <c r="R29" s="16"/>
      <c r="S29" s="16"/>
      <c r="T29" s="16"/>
      <c r="U29" s="16"/>
      <c r="V29" s="16"/>
      <c r="W29" s="16"/>
      <c r="X29" s="16"/>
      <c r="Y29" s="16"/>
      <c r="Z29" s="16"/>
    </row>
    <row r="30" ht="14.25" customHeight="1">
      <c r="A30" s="16">
        <v>29.0</v>
      </c>
      <c r="B30" s="16" t="s">
        <v>336</v>
      </c>
      <c r="C30" s="16" t="s">
        <v>337</v>
      </c>
      <c r="D30" s="16" t="s">
        <v>104</v>
      </c>
      <c r="E30" s="16" t="s">
        <v>338</v>
      </c>
      <c r="F30" s="16" t="s">
        <v>339</v>
      </c>
      <c r="G30" s="16" t="s">
        <v>340</v>
      </c>
      <c r="H30" s="16" t="s">
        <v>341</v>
      </c>
      <c r="I30" s="16" t="s">
        <v>342</v>
      </c>
      <c r="J30" s="16" t="s">
        <v>343</v>
      </c>
      <c r="K30" s="16" t="s">
        <v>344</v>
      </c>
      <c r="L30" s="16"/>
      <c r="M30" s="16"/>
      <c r="N30" s="16"/>
      <c r="O30" s="16"/>
      <c r="P30" s="16"/>
      <c r="Q30" s="16"/>
      <c r="R30" s="16"/>
      <c r="S30" s="16"/>
      <c r="T30" s="16"/>
      <c r="U30" s="16"/>
      <c r="V30" s="16"/>
      <c r="W30" s="16"/>
      <c r="X30" s="16"/>
      <c r="Y30" s="16"/>
      <c r="Z30" s="16"/>
    </row>
    <row r="31" ht="14.25" customHeight="1">
      <c r="A31" s="16">
        <v>30.0</v>
      </c>
      <c r="B31" s="16" t="s">
        <v>345</v>
      </c>
      <c r="C31" s="16" t="s">
        <v>346</v>
      </c>
      <c r="D31" s="16" t="s">
        <v>347</v>
      </c>
      <c r="E31" s="16" t="s">
        <v>348</v>
      </c>
      <c r="F31" s="16" t="s">
        <v>349</v>
      </c>
      <c r="G31" s="16" t="s">
        <v>350</v>
      </c>
      <c r="H31" s="16" t="s">
        <v>351</v>
      </c>
      <c r="I31" s="16" t="s">
        <v>352</v>
      </c>
      <c r="J31" s="16" t="s">
        <v>353</v>
      </c>
      <c r="K31" s="16" t="s">
        <v>354</v>
      </c>
      <c r="L31" s="16"/>
      <c r="M31" s="16"/>
      <c r="N31" s="16"/>
      <c r="O31" s="16"/>
      <c r="P31" s="16"/>
      <c r="Q31" s="16"/>
      <c r="R31" s="16"/>
      <c r="S31" s="16"/>
      <c r="T31" s="16"/>
      <c r="U31" s="16"/>
      <c r="V31" s="16"/>
      <c r="W31" s="16"/>
      <c r="X31" s="16"/>
      <c r="Y31" s="16"/>
      <c r="Z31" s="16"/>
    </row>
    <row r="32" ht="14.25" customHeight="1">
      <c r="A32" s="16">
        <v>31.0</v>
      </c>
      <c r="B32" s="16" t="s">
        <v>355</v>
      </c>
      <c r="C32" s="16" t="s">
        <v>356</v>
      </c>
      <c r="D32" s="16" t="s">
        <v>94</v>
      </c>
      <c r="E32" s="16" t="s">
        <v>357</v>
      </c>
      <c r="F32" s="16" t="s">
        <v>358</v>
      </c>
      <c r="G32" s="16" t="s">
        <v>359</v>
      </c>
      <c r="H32" s="16" t="s">
        <v>360</v>
      </c>
      <c r="I32" s="16" t="s">
        <v>361</v>
      </c>
      <c r="J32" s="16" t="s">
        <v>362</v>
      </c>
      <c r="K32" s="16" t="s">
        <v>363</v>
      </c>
      <c r="L32" s="16"/>
      <c r="M32" s="16"/>
      <c r="N32" s="16"/>
      <c r="O32" s="16"/>
      <c r="P32" s="16"/>
      <c r="Q32" s="16"/>
      <c r="R32" s="16"/>
      <c r="S32" s="16"/>
      <c r="T32" s="16"/>
      <c r="U32" s="16"/>
      <c r="V32" s="16"/>
      <c r="W32" s="16"/>
      <c r="X32" s="16"/>
      <c r="Y32" s="16"/>
      <c r="Z32" s="1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2.14"/>
    <col customWidth="1" min="3" max="3" width="27.86"/>
    <col customWidth="1" min="4" max="4" width="10.71"/>
    <col customWidth="1" min="5" max="5" width="43.43"/>
    <col customWidth="1" min="6" max="6" width="43.29"/>
    <col customWidth="1" min="7" max="7" width="44.71"/>
    <col customWidth="1" min="8" max="8" width="47.57"/>
    <col customWidth="1" min="9" max="9" width="41.0"/>
    <col customWidth="1" min="10" max="10" width="34.57"/>
    <col customWidth="1" min="11" max="11" width="34.0"/>
    <col customWidth="1" min="12" max="26" width="10.71"/>
  </cols>
  <sheetData>
    <row r="1" ht="14.25" customHeight="1">
      <c r="A1" s="11" t="s">
        <v>61</v>
      </c>
      <c r="B1" s="11" t="s">
        <v>62</v>
      </c>
      <c r="C1" s="11" t="s">
        <v>63</v>
      </c>
      <c r="D1" s="11" t="s">
        <v>64</v>
      </c>
      <c r="E1" s="11" t="s">
        <v>65</v>
      </c>
      <c r="F1" s="12" t="s">
        <v>66</v>
      </c>
      <c r="G1" s="12" t="s">
        <v>364</v>
      </c>
      <c r="H1" s="12" t="s">
        <v>68</v>
      </c>
      <c r="I1" s="12" t="s">
        <v>69</v>
      </c>
      <c r="J1" s="12" t="s">
        <v>70</v>
      </c>
      <c r="K1" s="12" t="s">
        <v>71</v>
      </c>
    </row>
    <row r="2" ht="14.25" customHeight="1">
      <c r="A2" s="14">
        <v>1.0</v>
      </c>
      <c r="B2" s="14" t="s">
        <v>365</v>
      </c>
      <c r="C2" s="14" t="s">
        <v>366</v>
      </c>
      <c r="D2" s="14" t="s">
        <v>367</v>
      </c>
      <c r="E2" s="14" t="s">
        <v>368</v>
      </c>
      <c r="F2" s="14" t="s">
        <v>369</v>
      </c>
      <c r="G2" s="14" t="s">
        <v>370</v>
      </c>
      <c r="H2" s="14" t="s">
        <v>371</v>
      </c>
      <c r="I2" s="14" t="s">
        <v>372</v>
      </c>
      <c r="J2" s="14" t="s">
        <v>373</v>
      </c>
      <c r="K2" s="14" t="s">
        <v>374</v>
      </c>
      <c r="L2" s="14" t="s">
        <v>375</v>
      </c>
      <c r="M2" s="20"/>
      <c r="N2" s="20"/>
      <c r="O2" s="20"/>
      <c r="P2" s="20"/>
    </row>
    <row r="3" ht="14.25" customHeight="1">
      <c r="A3" s="14">
        <v>2.0</v>
      </c>
      <c r="B3" s="14" t="s">
        <v>376</v>
      </c>
      <c r="C3" s="14" t="s">
        <v>377</v>
      </c>
      <c r="D3" s="14" t="s">
        <v>378</v>
      </c>
      <c r="E3" s="14" t="s">
        <v>379</v>
      </c>
      <c r="F3" s="14" t="s">
        <v>380</v>
      </c>
      <c r="G3" s="14" t="s">
        <v>381</v>
      </c>
      <c r="H3" s="14" t="s">
        <v>382</v>
      </c>
      <c r="I3" s="14" t="s">
        <v>383</v>
      </c>
      <c r="J3" s="14" t="s">
        <v>384</v>
      </c>
      <c r="K3" s="14" t="s">
        <v>385</v>
      </c>
      <c r="L3" s="14" t="s">
        <v>375</v>
      </c>
      <c r="M3" s="20"/>
      <c r="N3" s="20"/>
      <c r="O3" s="20"/>
      <c r="P3" s="20"/>
    </row>
    <row r="4" ht="14.25" customHeight="1">
      <c r="A4" s="14">
        <v>3.0</v>
      </c>
      <c r="B4" s="14" t="s">
        <v>386</v>
      </c>
      <c r="C4" s="14" t="s">
        <v>387</v>
      </c>
      <c r="D4" s="14" t="s">
        <v>367</v>
      </c>
      <c r="E4" s="14" t="s">
        <v>388</v>
      </c>
      <c r="F4" s="14" t="s">
        <v>389</v>
      </c>
      <c r="G4" s="14" t="s">
        <v>390</v>
      </c>
      <c r="H4" s="14" t="s">
        <v>391</v>
      </c>
      <c r="I4" s="14" t="s">
        <v>392</v>
      </c>
      <c r="J4" s="14" t="s">
        <v>393</v>
      </c>
      <c r="K4" s="14" t="s">
        <v>394</v>
      </c>
      <c r="L4" s="14" t="s">
        <v>375</v>
      </c>
      <c r="M4" s="20"/>
      <c r="N4" s="20"/>
      <c r="O4" s="20"/>
      <c r="P4" s="20"/>
    </row>
    <row r="5" ht="14.25" customHeight="1">
      <c r="A5" s="14">
        <v>4.0</v>
      </c>
      <c r="B5" s="14" t="s">
        <v>395</v>
      </c>
      <c r="C5" s="14" t="s">
        <v>396</v>
      </c>
      <c r="D5" s="14" t="s">
        <v>397</v>
      </c>
      <c r="E5" s="14" t="s">
        <v>398</v>
      </c>
      <c r="F5" s="14" t="s">
        <v>399</v>
      </c>
      <c r="G5" s="14" t="s">
        <v>400</v>
      </c>
      <c r="H5" s="14" t="s">
        <v>401</v>
      </c>
      <c r="I5" s="14" t="s">
        <v>402</v>
      </c>
      <c r="J5" s="14" t="s">
        <v>403</v>
      </c>
      <c r="K5" s="14" t="s">
        <v>404</v>
      </c>
      <c r="L5" s="14"/>
      <c r="M5" s="20"/>
      <c r="N5" s="20"/>
      <c r="O5" s="20"/>
      <c r="P5" s="20"/>
    </row>
    <row r="6" ht="14.25" customHeight="1">
      <c r="A6" s="14">
        <v>5.0</v>
      </c>
      <c r="B6" s="14" t="s">
        <v>405</v>
      </c>
      <c r="C6" s="14" t="s">
        <v>406</v>
      </c>
      <c r="D6" s="14" t="s">
        <v>397</v>
      </c>
      <c r="E6" s="14" t="s">
        <v>407</v>
      </c>
      <c r="F6" s="14" t="s">
        <v>408</v>
      </c>
      <c r="G6" s="14" t="s">
        <v>409</v>
      </c>
      <c r="H6" s="14" t="s">
        <v>410</v>
      </c>
      <c r="I6" s="14" t="s">
        <v>411</v>
      </c>
      <c r="J6" s="14" t="s">
        <v>412</v>
      </c>
      <c r="K6" s="14" t="s">
        <v>413</v>
      </c>
      <c r="L6" s="14" t="s">
        <v>375</v>
      </c>
      <c r="M6" s="20"/>
      <c r="N6" s="20"/>
      <c r="O6" s="20"/>
      <c r="P6" s="20"/>
      <c r="Q6" s="20"/>
      <c r="R6" s="20"/>
      <c r="S6" s="20"/>
      <c r="T6" s="20"/>
      <c r="U6" s="20"/>
      <c r="V6" s="20"/>
      <c r="W6" s="20"/>
      <c r="X6" s="20"/>
      <c r="Y6" s="20"/>
      <c r="Z6" s="20"/>
    </row>
    <row r="7" ht="14.25" customHeight="1">
      <c r="A7" s="14">
        <v>6.0</v>
      </c>
      <c r="B7" s="14" t="s">
        <v>414</v>
      </c>
      <c r="C7" s="14" t="s">
        <v>415</v>
      </c>
      <c r="D7" s="14" t="s">
        <v>416</v>
      </c>
      <c r="E7" s="14" t="s">
        <v>417</v>
      </c>
      <c r="F7" s="14" t="s">
        <v>418</v>
      </c>
      <c r="G7" s="14" t="s">
        <v>419</v>
      </c>
      <c r="H7" s="14" t="s">
        <v>420</v>
      </c>
      <c r="I7" s="14" t="s">
        <v>421</v>
      </c>
      <c r="J7" s="14" t="s">
        <v>422</v>
      </c>
      <c r="K7" s="14" t="s">
        <v>423</v>
      </c>
      <c r="L7" s="14" t="s">
        <v>375</v>
      </c>
      <c r="M7" s="20"/>
      <c r="N7" s="20"/>
      <c r="O7" s="20"/>
      <c r="P7" s="20"/>
    </row>
    <row r="8" ht="14.25" customHeight="1">
      <c r="A8" s="14">
        <v>7.0</v>
      </c>
      <c r="B8" s="14" t="s">
        <v>424</v>
      </c>
      <c r="C8" s="14" t="s">
        <v>425</v>
      </c>
      <c r="D8" s="14" t="s">
        <v>426</v>
      </c>
      <c r="E8" s="14" t="s">
        <v>427</v>
      </c>
      <c r="F8" s="14" t="s">
        <v>428</v>
      </c>
      <c r="G8" s="14" t="s">
        <v>429</v>
      </c>
      <c r="H8" s="14" t="s">
        <v>430</v>
      </c>
      <c r="I8" s="14" t="s">
        <v>431</v>
      </c>
      <c r="J8" s="14" t="s">
        <v>432</v>
      </c>
      <c r="K8" s="14" t="s">
        <v>433</v>
      </c>
      <c r="L8" s="14" t="s">
        <v>375</v>
      </c>
      <c r="M8" s="20"/>
      <c r="N8" s="20"/>
      <c r="O8" s="20"/>
      <c r="P8" s="20"/>
      <c r="Q8" s="20"/>
      <c r="R8" s="20"/>
      <c r="S8" s="20"/>
      <c r="T8" s="20"/>
      <c r="U8" s="20"/>
      <c r="V8" s="20"/>
      <c r="W8" s="20"/>
      <c r="X8" s="20"/>
      <c r="Y8" s="20"/>
      <c r="Z8" s="20"/>
    </row>
    <row r="9" ht="14.25" customHeight="1">
      <c r="A9" s="14">
        <v>8.0</v>
      </c>
      <c r="B9" s="14" t="s">
        <v>434</v>
      </c>
      <c r="C9" s="14" t="s">
        <v>435</v>
      </c>
      <c r="D9" s="14" t="s">
        <v>416</v>
      </c>
      <c r="E9" s="14" t="s">
        <v>436</v>
      </c>
      <c r="F9" s="14" t="s">
        <v>437</v>
      </c>
      <c r="G9" s="14" t="s">
        <v>438</v>
      </c>
      <c r="H9" s="14" t="s">
        <v>439</v>
      </c>
      <c r="I9" s="14" t="s">
        <v>440</v>
      </c>
      <c r="J9" s="14" t="s">
        <v>441</v>
      </c>
      <c r="K9" s="14" t="s">
        <v>442</v>
      </c>
      <c r="L9" s="14" t="s">
        <v>375</v>
      </c>
      <c r="M9" s="20"/>
      <c r="N9" s="20"/>
      <c r="O9" s="20"/>
      <c r="P9" s="20"/>
      <c r="Q9" s="20"/>
      <c r="R9" s="20"/>
      <c r="S9" s="20"/>
      <c r="T9" s="20"/>
      <c r="U9" s="20"/>
      <c r="V9" s="20"/>
      <c r="W9" s="20"/>
      <c r="X9" s="20"/>
      <c r="Y9" s="20"/>
      <c r="Z9" s="20"/>
    </row>
    <row r="10" ht="14.25" customHeight="1">
      <c r="A10" s="14">
        <v>9.0</v>
      </c>
      <c r="B10" s="14" t="s">
        <v>443</v>
      </c>
      <c r="C10" s="14" t="s">
        <v>444</v>
      </c>
      <c r="D10" s="14" t="s">
        <v>367</v>
      </c>
      <c r="E10" s="14" t="s">
        <v>445</v>
      </c>
      <c r="F10" s="14" t="s">
        <v>446</v>
      </c>
      <c r="G10" s="14" t="s">
        <v>447</v>
      </c>
      <c r="H10" s="14" t="s">
        <v>448</v>
      </c>
      <c r="I10" s="14" t="s">
        <v>449</v>
      </c>
      <c r="J10" s="14" t="s">
        <v>450</v>
      </c>
      <c r="K10" s="14" t="s">
        <v>451</v>
      </c>
      <c r="L10" s="14" t="s">
        <v>375</v>
      </c>
      <c r="M10" s="20"/>
      <c r="N10" s="20"/>
      <c r="O10" s="20"/>
      <c r="P10" s="20"/>
      <c r="Q10" s="20"/>
      <c r="R10" s="20"/>
      <c r="S10" s="20"/>
      <c r="T10" s="20"/>
      <c r="U10" s="20"/>
      <c r="V10" s="20"/>
      <c r="W10" s="20"/>
      <c r="X10" s="20"/>
      <c r="Y10" s="20"/>
      <c r="Z10" s="20"/>
    </row>
    <row r="11" ht="14.25" customHeight="1">
      <c r="A11" s="14">
        <v>10.0</v>
      </c>
      <c r="B11" s="14" t="s">
        <v>452</v>
      </c>
      <c r="C11" s="14" t="s">
        <v>453</v>
      </c>
      <c r="D11" s="14" t="s">
        <v>378</v>
      </c>
      <c r="E11" s="14" t="s">
        <v>454</v>
      </c>
      <c r="F11" s="14" t="s">
        <v>455</v>
      </c>
      <c r="G11" s="14" t="s">
        <v>456</v>
      </c>
      <c r="H11" s="14" t="s">
        <v>457</v>
      </c>
      <c r="I11" s="14" t="s">
        <v>458</v>
      </c>
      <c r="J11" s="14" t="s">
        <v>459</v>
      </c>
      <c r="K11" s="14" t="s">
        <v>460</v>
      </c>
      <c r="L11" s="14"/>
      <c r="M11" s="14"/>
      <c r="N11" s="14" t="s">
        <v>375</v>
      </c>
      <c r="O11" s="20"/>
      <c r="P11" s="20"/>
      <c r="Q11" s="20"/>
      <c r="R11" s="20"/>
      <c r="S11" s="20"/>
      <c r="T11" s="20"/>
      <c r="U11" s="20"/>
      <c r="V11" s="20"/>
      <c r="W11" s="20"/>
      <c r="X11" s="20"/>
      <c r="Y11" s="20"/>
      <c r="Z11" s="20"/>
    </row>
    <row r="12" ht="14.25" customHeight="1">
      <c r="A12" s="14">
        <v>11.0</v>
      </c>
      <c r="B12" s="14" t="s">
        <v>461</v>
      </c>
      <c r="C12" s="14" t="s">
        <v>462</v>
      </c>
      <c r="D12" s="14" t="s">
        <v>397</v>
      </c>
      <c r="E12" s="14" t="s">
        <v>463</v>
      </c>
      <c r="F12" s="14" t="s">
        <v>464</v>
      </c>
      <c r="G12" s="14" t="s">
        <v>465</v>
      </c>
      <c r="H12" s="14" t="s">
        <v>466</v>
      </c>
      <c r="I12" s="14" t="s">
        <v>467</v>
      </c>
      <c r="J12" s="14" t="s">
        <v>468</v>
      </c>
      <c r="K12" s="14" t="s">
        <v>469</v>
      </c>
      <c r="L12" s="14"/>
      <c r="M12" s="14" t="s">
        <v>375</v>
      </c>
      <c r="N12" s="20"/>
      <c r="O12" s="20"/>
      <c r="P12" s="20"/>
      <c r="Q12" s="20"/>
      <c r="R12" s="20"/>
      <c r="S12" s="20"/>
      <c r="T12" s="20"/>
      <c r="U12" s="20"/>
      <c r="V12" s="20"/>
      <c r="W12" s="20"/>
      <c r="X12" s="20"/>
      <c r="Y12" s="20"/>
      <c r="Z12" s="20"/>
    </row>
    <row r="13" ht="14.25" customHeight="1">
      <c r="A13" s="14">
        <v>12.0</v>
      </c>
      <c r="B13" s="14" t="s">
        <v>470</v>
      </c>
      <c r="C13" s="14" t="s">
        <v>471</v>
      </c>
      <c r="D13" s="14" t="s">
        <v>472</v>
      </c>
      <c r="E13" s="14" t="s">
        <v>473</v>
      </c>
      <c r="F13" s="14" t="s">
        <v>474</v>
      </c>
      <c r="G13" s="14" t="s">
        <v>475</v>
      </c>
      <c r="H13" s="14" t="s">
        <v>476</v>
      </c>
      <c r="I13" s="14" t="s">
        <v>477</v>
      </c>
      <c r="J13" s="14" t="s">
        <v>478</v>
      </c>
      <c r="K13" s="14" t="s">
        <v>479</v>
      </c>
      <c r="L13" s="14" t="s">
        <v>375</v>
      </c>
      <c r="M13" s="14"/>
      <c r="N13" s="20"/>
      <c r="O13" s="20"/>
      <c r="P13" s="20"/>
      <c r="Q13" s="20"/>
      <c r="R13" s="20"/>
      <c r="S13" s="20"/>
      <c r="T13" s="20"/>
      <c r="U13" s="20"/>
      <c r="V13" s="20"/>
      <c r="W13" s="20"/>
      <c r="X13" s="20"/>
      <c r="Y13" s="20"/>
      <c r="Z13" s="20"/>
    </row>
    <row r="14" ht="14.25" customHeight="1">
      <c r="A14" s="14">
        <v>13.0</v>
      </c>
      <c r="B14" s="14" t="s">
        <v>480</v>
      </c>
      <c r="C14" s="14" t="s">
        <v>481</v>
      </c>
      <c r="D14" s="14" t="s">
        <v>472</v>
      </c>
      <c r="E14" s="14" t="s">
        <v>482</v>
      </c>
      <c r="F14" s="14" t="s">
        <v>483</v>
      </c>
      <c r="G14" s="14" t="s">
        <v>484</v>
      </c>
      <c r="H14" s="14" t="s">
        <v>485</v>
      </c>
      <c r="I14" s="14" t="s">
        <v>486</v>
      </c>
      <c r="J14" s="14" t="s">
        <v>487</v>
      </c>
      <c r="K14" s="14" t="s">
        <v>488</v>
      </c>
      <c r="L14" s="14" t="s">
        <v>375</v>
      </c>
      <c r="M14" s="20"/>
      <c r="N14" s="20"/>
      <c r="O14" s="20"/>
      <c r="P14" s="20"/>
      <c r="Q14" s="20"/>
      <c r="R14" s="20"/>
      <c r="S14" s="20"/>
      <c r="T14" s="20"/>
      <c r="U14" s="20"/>
      <c r="V14" s="20"/>
      <c r="W14" s="20"/>
      <c r="X14" s="20"/>
      <c r="Y14" s="20"/>
      <c r="Z14" s="20"/>
    </row>
    <row r="15" ht="14.25" customHeight="1">
      <c r="A15" s="14">
        <v>14.0</v>
      </c>
      <c r="B15" s="14" t="s">
        <v>489</v>
      </c>
      <c r="C15" s="14" t="s">
        <v>490</v>
      </c>
      <c r="D15" s="14" t="s">
        <v>491</v>
      </c>
      <c r="E15" s="14" t="s">
        <v>492</v>
      </c>
      <c r="F15" s="14" t="s">
        <v>493</v>
      </c>
      <c r="G15" s="14" t="s">
        <v>494</v>
      </c>
      <c r="H15" s="14" t="s">
        <v>495</v>
      </c>
      <c r="I15" s="14" t="s">
        <v>496</v>
      </c>
      <c r="J15" s="14" t="s">
        <v>497</v>
      </c>
      <c r="K15" s="14" t="s">
        <v>498</v>
      </c>
      <c r="L15" s="14" t="s">
        <v>375</v>
      </c>
      <c r="M15" s="20"/>
      <c r="N15" s="20"/>
      <c r="O15" s="20"/>
      <c r="P15" s="20"/>
      <c r="Q15" s="20"/>
      <c r="R15" s="20"/>
      <c r="S15" s="20"/>
      <c r="T15" s="20"/>
      <c r="U15" s="20"/>
      <c r="V15" s="20"/>
      <c r="W15" s="20"/>
      <c r="X15" s="20"/>
      <c r="Y15" s="20"/>
      <c r="Z15" s="20"/>
    </row>
    <row r="16" ht="14.25" customHeight="1">
      <c r="A16" s="14">
        <v>15.0</v>
      </c>
      <c r="B16" s="14" t="s">
        <v>499</v>
      </c>
      <c r="C16" s="14" t="s">
        <v>500</v>
      </c>
      <c r="D16" s="14" t="s">
        <v>472</v>
      </c>
      <c r="E16" s="14" t="s">
        <v>501</v>
      </c>
      <c r="F16" s="14" t="s">
        <v>502</v>
      </c>
      <c r="G16" s="14" t="s">
        <v>503</v>
      </c>
      <c r="H16" s="14" t="s">
        <v>504</v>
      </c>
      <c r="I16" s="14" t="s">
        <v>505</v>
      </c>
      <c r="J16" s="14" t="s">
        <v>506</v>
      </c>
      <c r="K16" s="14" t="s">
        <v>507</v>
      </c>
      <c r="L16" s="14"/>
      <c r="M16" s="14" t="s">
        <v>375</v>
      </c>
      <c r="N16" s="14"/>
      <c r="O16" s="20"/>
      <c r="P16" s="20"/>
      <c r="Q16" s="20"/>
      <c r="R16" s="20"/>
      <c r="S16" s="20"/>
      <c r="T16" s="20"/>
      <c r="U16" s="20"/>
      <c r="V16" s="20"/>
      <c r="W16" s="20"/>
      <c r="X16" s="20"/>
      <c r="Y16" s="20"/>
      <c r="Z16" s="20"/>
    </row>
    <row r="17" ht="14.25" customHeight="1">
      <c r="A17" s="14">
        <v>16.0</v>
      </c>
      <c r="B17" s="14" t="s">
        <v>508</v>
      </c>
      <c r="C17" s="14" t="s">
        <v>509</v>
      </c>
      <c r="D17" s="14" t="s">
        <v>367</v>
      </c>
      <c r="E17" s="14" t="s">
        <v>510</v>
      </c>
      <c r="F17" s="14" t="s">
        <v>511</v>
      </c>
      <c r="G17" s="14" t="s">
        <v>512</v>
      </c>
      <c r="H17" s="14" t="s">
        <v>513</v>
      </c>
      <c r="I17" s="14" t="s">
        <v>514</v>
      </c>
      <c r="J17" s="14" t="s">
        <v>515</v>
      </c>
      <c r="K17" s="14" t="s">
        <v>516</v>
      </c>
      <c r="L17" s="14" t="s">
        <v>375</v>
      </c>
      <c r="M17" s="14"/>
      <c r="N17" s="14"/>
      <c r="O17" s="20"/>
      <c r="P17" s="20"/>
      <c r="Q17" s="20"/>
      <c r="R17" s="20"/>
      <c r="S17" s="20"/>
      <c r="T17" s="20"/>
      <c r="U17" s="20"/>
      <c r="V17" s="20"/>
      <c r="W17" s="20"/>
      <c r="X17" s="20"/>
      <c r="Y17" s="20"/>
      <c r="Z17" s="20"/>
    </row>
    <row r="18" ht="14.25" customHeight="1">
      <c r="A18" s="14">
        <v>17.0</v>
      </c>
      <c r="B18" s="14" t="s">
        <v>517</v>
      </c>
      <c r="C18" s="14" t="s">
        <v>518</v>
      </c>
      <c r="D18" s="14" t="s">
        <v>519</v>
      </c>
      <c r="E18" s="14" t="s">
        <v>520</v>
      </c>
      <c r="F18" s="14" t="s">
        <v>521</v>
      </c>
      <c r="G18" s="14" t="s">
        <v>522</v>
      </c>
      <c r="H18" s="14" t="s">
        <v>523</v>
      </c>
      <c r="I18" s="14" t="s">
        <v>524</v>
      </c>
      <c r="J18" s="14" t="s">
        <v>525</v>
      </c>
      <c r="K18" s="14" t="s">
        <v>526</v>
      </c>
      <c r="L18" s="14" t="s">
        <v>375</v>
      </c>
      <c r="M18" s="14"/>
      <c r="N18" s="14"/>
      <c r="O18" s="20"/>
      <c r="P18" s="20"/>
      <c r="Q18" s="20"/>
      <c r="R18" s="20"/>
      <c r="S18" s="20"/>
      <c r="T18" s="20"/>
      <c r="U18" s="20"/>
      <c r="V18" s="20"/>
      <c r="W18" s="20"/>
      <c r="X18" s="20"/>
      <c r="Y18" s="20"/>
      <c r="Z18" s="20"/>
    </row>
    <row r="19" ht="14.25" customHeight="1">
      <c r="A19" s="14">
        <v>18.0</v>
      </c>
      <c r="B19" s="14" t="s">
        <v>527</v>
      </c>
      <c r="C19" s="14" t="s">
        <v>528</v>
      </c>
      <c r="D19" s="14" t="s">
        <v>416</v>
      </c>
      <c r="E19" s="14" t="s">
        <v>529</v>
      </c>
      <c r="F19" s="14" t="s">
        <v>530</v>
      </c>
      <c r="G19" s="14" t="s">
        <v>531</v>
      </c>
      <c r="H19" s="14" t="s">
        <v>532</v>
      </c>
      <c r="I19" s="14" t="s">
        <v>533</v>
      </c>
      <c r="J19" s="14" t="s">
        <v>534</v>
      </c>
      <c r="K19" s="14" t="s">
        <v>535</v>
      </c>
      <c r="L19" s="14" t="s">
        <v>375</v>
      </c>
      <c r="M19" s="14"/>
      <c r="N19" s="14"/>
      <c r="O19" s="20"/>
      <c r="P19" s="20"/>
      <c r="Q19" s="20"/>
      <c r="R19" s="20"/>
      <c r="S19" s="20"/>
      <c r="T19" s="20"/>
      <c r="U19" s="20"/>
      <c r="V19" s="20"/>
      <c r="W19" s="20"/>
      <c r="X19" s="20"/>
      <c r="Y19" s="20"/>
      <c r="Z19" s="20"/>
    </row>
    <row r="20" ht="14.25" customHeight="1">
      <c r="A20" s="14">
        <v>19.0</v>
      </c>
      <c r="B20" s="14" t="s">
        <v>536</v>
      </c>
      <c r="C20" s="14" t="s">
        <v>537</v>
      </c>
      <c r="D20" s="14" t="s">
        <v>426</v>
      </c>
      <c r="E20" s="14" t="s">
        <v>538</v>
      </c>
      <c r="F20" s="14" t="s">
        <v>539</v>
      </c>
      <c r="G20" s="14" t="s">
        <v>540</v>
      </c>
      <c r="H20" s="14" t="s">
        <v>541</v>
      </c>
      <c r="I20" s="14" t="s">
        <v>542</v>
      </c>
      <c r="J20" s="14" t="s">
        <v>543</v>
      </c>
      <c r="K20" s="14" t="s">
        <v>544</v>
      </c>
      <c r="L20" s="14" t="s">
        <v>545</v>
      </c>
      <c r="M20" s="14" t="s">
        <v>546</v>
      </c>
      <c r="N20" s="14" t="s">
        <v>375</v>
      </c>
      <c r="O20" s="20"/>
      <c r="P20" s="20"/>
      <c r="Q20" s="20"/>
      <c r="R20" s="20"/>
      <c r="S20" s="20"/>
      <c r="T20" s="20"/>
      <c r="U20" s="20"/>
      <c r="V20" s="20"/>
      <c r="W20" s="20"/>
      <c r="X20" s="20"/>
      <c r="Y20" s="20"/>
      <c r="Z20" s="20"/>
    </row>
    <row r="21" ht="14.25" customHeight="1">
      <c r="A21" s="14">
        <v>20.0</v>
      </c>
      <c r="B21" s="14" t="s">
        <v>547</v>
      </c>
      <c r="C21" s="14" t="s">
        <v>548</v>
      </c>
      <c r="D21" s="14" t="s">
        <v>549</v>
      </c>
      <c r="E21" s="14" t="s">
        <v>550</v>
      </c>
      <c r="F21" s="14" t="s">
        <v>551</v>
      </c>
      <c r="G21" s="14" t="s">
        <v>552</v>
      </c>
      <c r="H21" s="14" t="s">
        <v>553</v>
      </c>
      <c r="I21" s="14" t="s">
        <v>554</v>
      </c>
      <c r="J21" s="14" t="s">
        <v>555</v>
      </c>
      <c r="K21" s="14" t="s">
        <v>556</v>
      </c>
      <c r="L21" s="14" t="s">
        <v>375</v>
      </c>
      <c r="M21" s="14"/>
      <c r="N21" s="14"/>
      <c r="O21" s="20"/>
      <c r="P21" s="20"/>
      <c r="Q21" s="20"/>
      <c r="R21" s="20"/>
      <c r="S21" s="20"/>
      <c r="T21" s="20"/>
      <c r="U21" s="20"/>
      <c r="V21" s="20"/>
      <c r="W21" s="20"/>
      <c r="X21" s="20"/>
      <c r="Y21" s="20"/>
      <c r="Z21" s="20"/>
    </row>
    <row r="22" ht="14.25" customHeight="1">
      <c r="A22" s="14">
        <v>21.0</v>
      </c>
      <c r="B22" s="14" t="s">
        <v>557</v>
      </c>
      <c r="C22" s="14" t="s">
        <v>558</v>
      </c>
      <c r="D22" s="14" t="s">
        <v>559</v>
      </c>
      <c r="E22" s="14" t="s">
        <v>560</v>
      </c>
      <c r="F22" s="14" t="s">
        <v>561</v>
      </c>
      <c r="G22" s="14" t="s">
        <v>562</v>
      </c>
      <c r="H22" s="14" t="s">
        <v>563</v>
      </c>
      <c r="I22" s="14" t="s">
        <v>564</v>
      </c>
      <c r="J22" s="14" t="s">
        <v>565</v>
      </c>
      <c r="K22" s="14" t="s">
        <v>566</v>
      </c>
      <c r="L22" s="14" t="s">
        <v>375</v>
      </c>
      <c r="M22" s="14"/>
      <c r="N22" s="14"/>
      <c r="O22" s="20"/>
      <c r="P22" s="20"/>
      <c r="Q22" s="20"/>
      <c r="R22" s="20"/>
      <c r="S22" s="20"/>
      <c r="T22" s="20"/>
      <c r="U22" s="20"/>
      <c r="V22" s="20"/>
      <c r="W22" s="20"/>
      <c r="X22" s="20"/>
      <c r="Y22" s="20"/>
      <c r="Z22" s="20"/>
    </row>
    <row r="23" ht="14.25" customHeight="1">
      <c r="A23" s="14">
        <v>22.0</v>
      </c>
      <c r="B23" s="14" t="s">
        <v>567</v>
      </c>
      <c r="C23" s="14" t="s">
        <v>568</v>
      </c>
      <c r="D23" s="14" t="s">
        <v>397</v>
      </c>
      <c r="E23" s="14" t="s">
        <v>569</v>
      </c>
      <c r="F23" s="14" t="s">
        <v>570</v>
      </c>
      <c r="G23" s="14" t="s">
        <v>571</v>
      </c>
      <c r="H23" s="14" t="s">
        <v>572</v>
      </c>
      <c r="I23" s="14" t="s">
        <v>573</v>
      </c>
      <c r="J23" s="14" t="s">
        <v>574</v>
      </c>
      <c r="K23" s="14" t="s">
        <v>575</v>
      </c>
      <c r="L23" s="14" t="s">
        <v>375</v>
      </c>
      <c r="M23" s="14"/>
      <c r="N23" s="14"/>
      <c r="O23" s="20"/>
      <c r="P23" s="20"/>
      <c r="Q23" s="20"/>
      <c r="R23" s="20"/>
      <c r="S23" s="20"/>
      <c r="T23" s="20"/>
      <c r="U23" s="20"/>
      <c r="V23" s="20"/>
      <c r="W23" s="20"/>
      <c r="X23" s="20"/>
      <c r="Y23" s="20"/>
      <c r="Z23" s="20"/>
    </row>
    <row r="24" ht="14.25" customHeight="1">
      <c r="A24" s="14">
        <v>23.0</v>
      </c>
      <c r="B24" s="14" t="s">
        <v>576</v>
      </c>
      <c r="C24" s="14" t="s">
        <v>577</v>
      </c>
      <c r="D24" s="14" t="s">
        <v>416</v>
      </c>
      <c r="E24" s="14" t="s">
        <v>578</v>
      </c>
      <c r="F24" s="14" t="s">
        <v>579</v>
      </c>
      <c r="G24" s="14" t="s">
        <v>580</v>
      </c>
      <c r="H24" s="14" t="s">
        <v>581</v>
      </c>
      <c r="I24" s="14" t="s">
        <v>582</v>
      </c>
      <c r="J24" s="14" t="s">
        <v>583</v>
      </c>
      <c r="K24" s="14" t="s">
        <v>584</v>
      </c>
      <c r="L24" s="14" t="s">
        <v>375</v>
      </c>
      <c r="M24" s="14"/>
      <c r="N24" s="14"/>
      <c r="O24" s="20"/>
      <c r="P24" s="20"/>
      <c r="Q24" s="20"/>
      <c r="R24" s="20"/>
      <c r="S24" s="20"/>
      <c r="T24" s="20"/>
      <c r="U24" s="20"/>
      <c r="V24" s="20"/>
      <c r="W24" s="20"/>
      <c r="X24" s="20"/>
      <c r="Y24" s="20"/>
      <c r="Z24" s="20"/>
    </row>
    <row r="25" ht="14.25" customHeight="1">
      <c r="A25" s="14">
        <v>24.0</v>
      </c>
      <c r="B25" s="14" t="s">
        <v>585</v>
      </c>
      <c r="C25" s="14" t="s">
        <v>586</v>
      </c>
      <c r="D25" s="14" t="s">
        <v>378</v>
      </c>
      <c r="E25" s="14" t="s">
        <v>587</v>
      </c>
      <c r="F25" s="14" t="s">
        <v>588</v>
      </c>
      <c r="G25" s="14" t="s">
        <v>589</v>
      </c>
      <c r="H25" s="14" t="s">
        <v>590</v>
      </c>
      <c r="I25" s="14" t="s">
        <v>591</v>
      </c>
      <c r="J25" s="14" t="s">
        <v>592</v>
      </c>
      <c r="K25" s="14" t="s">
        <v>593</v>
      </c>
      <c r="L25" s="14" t="s">
        <v>375</v>
      </c>
      <c r="M25" s="14"/>
      <c r="N25" s="14"/>
      <c r="O25" s="20"/>
      <c r="P25" s="20"/>
      <c r="Q25" s="20"/>
      <c r="R25" s="20"/>
      <c r="S25" s="20"/>
      <c r="T25" s="20"/>
      <c r="U25" s="20"/>
      <c r="V25" s="20"/>
      <c r="W25" s="20"/>
      <c r="X25" s="20"/>
      <c r="Y25" s="20"/>
      <c r="Z25" s="20"/>
    </row>
    <row r="26" ht="14.25" customHeight="1">
      <c r="A26" s="14">
        <v>25.0</v>
      </c>
      <c r="B26" s="14" t="s">
        <v>594</v>
      </c>
      <c r="C26" s="14" t="s">
        <v>586</v>
      </c>
      <c r="D26" s="14" t="s">
        <v>426</v>
      </c>
      <c r="E26" s="14" t="s">
        <v>595</v>
      </c>
      <c r="F26" s="14" t="s">
        <v>596</v>
      </c>
      <c r="G26" s="14" t="s">
        <v>597</v>
      </c>
      <c r="H26" s="14" t="s">
        <v>598</v>
      </c>
      <c r="I26" s="14" t="s">
        <v>599</v>
      </c>
      <c r="J26" s="14" t="s">
        <v>600</v>
      </c>
      <c r="K26" s="14" t="s">
        <v>601</v>
      </c>
      <c r="L26" s="14" t="s">
        <v>375</v>
      </c>
      <c r="M26" s="14"/>
      <c r="N26" s="14"/>
      <c r="O26" s="20"/>
      <c r="P26" s="20"/>
      <c r="Q26" s="20"/>
      <c r="R26" s="20"/>
      <c r="S26" s="20"/>
      <c r="T26" s="20"/>
      <c r="U26" s="20"/>
      <c r="V26" s="20"/>
      <c r="W26" s="20"/>
      <c r="X26" s="20"/>
      <c r="Y26" s="20"/>
      <c r="Z26" s="20"/>
    </row>
    <row r="27" ht="14.25" customHeight="1">
      <c r="A27" s="14">
        <v>26.0</v>
      </c>
      <c r="B27" s="14" t="s">
        <v>602</v>
      </c>
      <c r="C27" s="14" t="s">
        <v>603</v>
      </c>
      <c r="D27" s="14" t="s">
        <v>367</v>
      </c>
      <c r="E27" s="14" t="s">
        <v>604</v>
      </c>
      <c r="F27" s="14" t="s">
        <v>605</v>
      </c>
      <c r="G27" s="14" t="s">
        <v>606</v>
      </c>
      <c r="H27" s="14" t="s">
        <v>607</v>
      </c>
      <c r="I27" s="14" t="s">
        <v>608</v>
      </c>
      <c r="J27" s="14" t="s">
        <v>609</v>
      </c>
      <c r="K27" s="14" t="s">
        <v>610</v>
      </c>
      <c r="L27" s="14" t="s">
        <v>375</v>
      </c>
      <c r="M27" s="14"/>
      <c r="N27" s="14"/>
      <c r="O27" s="20"/>
      <c r="P27" s="20"/>
      <c r="Q27" s="20"/>
      <c r="R27" s="20"/>
      <c r="S27" s="20"/>
      <c r="T27" s="20"/>
      <c r="U27" s="20"/>
      <c r="V27" s="20"/>
      <c r="W27" s="20"/>
      <c r="X27" s="20"/>
      <c r="Y27" s="20"/>
      <c r="Z27" s="20"/>
    </row>
    <row r="28" ht="14.25" customHeight="1">
      <c r="A28" s="14">
        <v>27.0</v>
      </c>
      <c r="B28" s="14" t="s">
        <v>611</v>
      </c>
      <c r="C28" s="14" t="s">
        <v>612</v>
      </c>
      <c r="D28" s="14" t="s">
        <v>472</v>
      </c>
      <c r="E28" s="14" t="s">
        <v>613</v>
      </c>
      <c r="F28" s="14" t="s">
        <v>614</v>
      </c>
      <c r="G28" s="14" t="s">
        <v>615</v>
      </c>
      <c r="H28" s="14" t="s">
        <v>616</v>
      </c>
      <c r="I28" s="14" t="s">
        <v>617</v>
      </c>
      <c r="J28" s="14" t="s">
        <v>618</v>
      </c>
      <c r="K28" s="14" t="s">
        <v>619</v>
      </c>
      <c r="L28" s="14" t="s">
        <v>375</v>
      </c>
      <c r="M28" s="14"/>
      <c r="N28" s="20"/>
      <c r="O28" s="20"/>
      <c r="P28" s="20"/>
      <c r="Q28" s="20"/>
      <c r="R28" s="20"/>
      <c r="S28" s="20"/>
      <c r="T28" s="20"/>
      <c r="U28" s="20"/>
      <c r="V28" s="20"/>
      <c r="W28" s="20"/>
      <c r="X28" s="20"/>
      <c r="Y28" s="20"/>
      <c r="Z28" s="20"/>
    </row>
    <row r="29" ht="14.25" customHeight="1">
      <c r="A29" s="14">
        <v>28.0</v>
      </c>
      <c r="B29" s="14" t="s">
        <v>620</v>
      </c>
      <c r="C29" s="14" t="s">
        <v>621</v>
      </c>
      <c r="D29" s="14" t="s">
        <v>559</v>
      </c>
      <c r="E29" s="14" t="s">
        <v>622</v>
      </c>
      <c r="F29" s="14" t="s">
        <v>623</v>
      </c>
      <c r="G29" s="14" t="s">
        <v>624</v>
      </c>
      <c r="H29" s="14" t="s">
        <v>625</v>
      </c>
      <c r="I29" s="14" t="s">
        <v>626</v>
      </c>
      <c r="J29" s="14" t="s">
        <v>627</v>
      </c>
      <c r="K29" s="14" t="s">
        <v>628</v>
      </c>
      <c r="L29" s="14" t="s">
        <v>375</v>
      </c>
      <c r="M29" s="14"/>
      <c r="N29" s="20"/>
      <c r="O29" s="20"/>
      <c r="P29" s="20"/>
      <c r="Q29" s="20"/>
      <c r="R29" s="20"/>
      <c r="S29" s="20"/>
      <c r="T29" s="20"/>
      <c r="U29" s="20"/>
      <c r="V29" s="20"/>
      <c r="W29" s="20"/>
      <c r="X29" s="20"/>
      <c r="Y29" s="20"/>
      <c r="Z29" s="20"/>
    </row>
    <row r="30" ht="14.25" customHeight="1">
      <c r="A30" s="14">
        <v>29.0</v>
      </c>
      <c r="B30" s="14" t="s">
        <v>629</v>
      </c>
      <c r="C30" s="14" t="s">
        <v>630</v>
      </c>
      <c r="D30" s="14" t="s">
        <v>426</v>
      </c>
      <c r="E30" s="14" t="s">
        <v>631</v>
      </c>
      <c r="F30" s="14" t="s">
        <v>632</v>
      </c>
      <c r="G30" s="14" t="s">
        <v>633</v>
      </c>
      <c r="H30" s="14" t="s">
        <v>634</v>
      </c>
      <c r="I30" s="14" t="s">
        <v>635</v>
      </c>
      <c r="J30" s="14" t="s">
        <v>636</v>
      </c>
      <c r="K30" s="14" t="s">
        <v>637</v>
      </c>
      <c r="L30" s="14"/>
      <c r="M30" s="14" t="s">
        <v>375</v>
      </c>
      <c r="N30" s="20"/>
      <c r="O30" s="20"/>
      <c r="P30" s="20"/>
      <c r="Q30" s="20"/>
      <c r="R30" s="20"/>
      <c r="S30" s="20"/>
      <c r="T30" s="20"/>
      <c r="U30" s="20"/>
      <c r="V30" s="20"/>
      <c r="W30" s="20"/>
      <c r="X30" s="20"/>
      <c r="Y30" s="20"/>
      <c r="Z30" s="20"/>
    </row>
    <row r="31" ht="14.25" customHeight="1">
      <c r="A31" s="14">
        <v>30.0</v>
      </c>
      <c r="B31" s="14" t="s">
        <v>638</v>
      </c>
      <c r="C31" s="14" t="s">
        <v>435</v>
      </c>
      <c r="D31" s="14" t="s">
        <v>416</v>
      </c>
      <c r="E31" s="14" t="s">
        <v>639</v>
      </c>
      <c r="F31" s="14" t="s">
        <v>640</v>
      </c>
      <c r="G31" s="14" t="s">
        <v>641</v>
      </c>
      <c r="H31" s="14" t="s">
        <v>642</v>
      </c>
      <c r="I31" s="14" t="s">
        <v>643</v>
      </c>
      <c r="J31" s="14" t="s">
        <v>644</v>
      </c>
      <c r="K31" s="14" t="s">
        <v>645</v>
      </c>
      <c r="L31" s="14" t="s">
        <v>375</v>
      </c>
      <c r="M31" s="14"/>
      <c r="N31" s="20"/>
      <c r="O31" s="20"/>
      <c r="P31" s="20"/>
      <c r="Q31" s="20"/>
      <c r="R31" s="20"/>
      <c r="S31" s="20"/>
      <c r="T31" s="20"/>
      <c r="U31" s="20"/>
      <c r="V31" s="20"/>
      <c r="W31" s="20"/>
      <c r="X31" s="20"/>
      <c r="Y31" s="20"/>
      <c r="Z31" s="20"/>
    </row>
    <row r="32" ht="14.25" customHeight="1">
      <c r="A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C33" s="20"/>
      <c r="D33" s="20"/>
      <c r="E33" s="20"/>
      <c r="F33" s="20"/>
      <c r="G33" s="20"/>
      <c r="H33" s="20"/>
      <c r="I33" s="20"/>
      <c r="J33" s="20"/>
      <c r="K33" s="20"/>
      <c r="L33" s="20"/>
      <c r="M33" s="20"/>
      <c r="N33" s="20"/>
      <c r="O33" s="20"/>
      <c r="P33" s="20"/>
    </row>
    <row r="34" ht="14.25" customHeight="1">
      <c r="C34" s="20"/>
      <c r="D34" s="20"/>
      <c r="E34" s="20"/>
      <c r="F34" s="20"/>
      <c r="G34" s="20"/>
      <c r="H34" s="20"/>
      <c r="I34" s="20"/>
      <c r="J34" s="20"/>
      <c r="K34" s="20"/>
      <c r="L34" s="20"/>
      <c r="M34" s="20"/>
      <c r="N34" s="20"/>
      <c r="O34" s="20"/>
      <c r="P34" s="20"/>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0"/>
    <col customWidth="1" min="3" max="4" width="15.86"/>
    <col customWidth="1" min="6" max="6" width="31.29"/>
    <col customWidth="1" min="7" max="7" width="20.86"/>
    <col customWidth="1" min="8" max="8" width="20.57"/>
    <col customWidth="1" min="9" max="9" width="23.29"/>
    <col customWidth="1" min="10" max="10" width="28.29"/>
    <col customWidth="1" min="12" max="12" width="26.0"/>
    <col customWidth="1" min="13" max="13" width="27.86"/>
    <col customWidth="1" min="14" max="14" width="29.0"/>
    <col customWidth="1" min="15" max="15" width="38.71"/>
  </cols>
  <sheetData>
    <row r="1">
      <c r="A1" s="21" t="s">
        <v>646</v>
      </c>
      <c r="B1" s="21" t="s">
        <v>647</v>
      </c>
      <c r="C1" s="21" t="s">
        <v>648</v>
      </c>
      <c r="D1" s="21" t="s">
        <v>64</v>
      </c>
      <c r="E1" s="21" t="s">
        <v>649</v>
      </c>
      <c r="F1" s="21" t="s">
        <v>650</v>
      </c>
      <c r="G1" s="21" t="s">
        <v>651</v>
      </c>
      <c r="H1" s="21" t="s">
        <v>652</v>
      </c>
      <c r="I1" s="21" t="s">
        <v>653</v>
      </c>
      <c r="J1" s="21" t="s">
        <v>654</v>
      </c>
      <c r="K1" s="21" t="s">
        <v>655</v>
      </c>
      <c r="L1" s="21" t="s">
        <v>656</v>
      </c>
      <c r="M1" s="21" t="s">
        <v>657</v>
      </c>
      <c r="N1" s="21" t="s">
        <v>658</v>
      </c>
      <c r="O1" s="21" t="s">
        <v>659</v>
      </c>
    </row>
    <row r="2">
      <c r="A2" s="22" t="s">
        <v>660</v>
      </c>
      <c r="B2" s="22" t="s">
        <v>661</v>
      </c>
      <c r="C2" s="22" t="s">
        <v>662</v>
      </c>
      <c r="D2" s="22">
        <v>2022.0</v>
      </c>
      <c r="E2" s="22" t="s">
        <v>663</v>
      </c>
      <c r="F2" s="22" t="s">
        <v>664</v>
      </c>
      <c r="G2" s="22" t="s">
        <v>665</v>
      </c>
      <c r="H2" s="22" t="s">
        <v>666</v>
      </c>
      <c r="I2" s="22" t="s">
        <v>667</v>
      </c>
      <c r="J2" s="22" t="s">
        <v>668</v>
      </c>
      <c r="K2" s="22" t="s">
        <v>669</v>
      </c>
      <c r="L2" s="22" t="s">
        <v>670</v>
      </c>
      <c r="M2" s="22" t="s">
        <v>671</v>
      </c>
      <c r="N2" s="22" t="s">
        <v>672</v>
      </c>
      <c r="O2" s="22" t="s">
        <v>673</v>
      </c>
      <c r="P2" s="23"/>
    </row>
    <row r="3">
      <c r="A3" s="22" t="s">
        <v>674</v>
      </c>
      <c r="B3" s="22" t="s">
        <v>675</v>
      </c>
      <c r="C3" s="22" t="s">
        <v>60</v>
      </c>
      <c r="D3" s="22">
        <v>2021.0</v>
      </c>
      <c r="E3" s="22" t="s">
        <v>663</v>
      </c>
      <c r="F3" s="22" t="s">
        <v>676</v>
      </c>
      <c r="G3" s="22" t="s">
        <v>677</v>
      </c>
      <c r="H3" s="22" t="s">
        <v>678</v>
      </c>
      <c r="I3" s="22" t="s">
        <v>679</v>
      </c>
      <c r="J3" s="22" t="s">
        <v>680</v>
      </c>
      <c r="K3" s="22" t="s">
        <v>669</v>
      </c>
      <c r="L3" s="22" t="s">
        <v>681</v>
      </c>
      <c r="M3" s="22" t="s">
        <v>682</v>
      </c>
      <c r="N3" s="22" t="s">
        <v>683</v>
      </c>
      <c r="O3" s="22" t="s">
        <v>684</v>
      </c>
      <c r="P3" s="23"/>
    </row>
    <row r="4">
      <c r="A4" s="22" t="s">
        <v>685</v>
      </c>
      <c r="B4" s="22" t="s">
        <v>686</v>
      </c>
      <c r="C4" s="22" t="s">
        <v>687</v>
      </c>
      <c r="D4" s="22">
        <v>2020.0</v>
      </c>
      <c r="E4" s="22" t="s">
        <v>663</v>
      </c>
      <c r="F4" s="22" t="s">
        <v>688</v>
      </c>
      <c r="G4" s="22" t="s">
        <v>689</v>
      </c>
      <c r="H4" s="22" t="s">
        <v>690</v>
      </c>
      <c r="I4" s="22" t="s">
        <v>691</v>
      </c>
      <c r="J4" s="22" t="s">
        <v>692</v>
      </c>
      <c r="K4" s="22" t="s">
        <v>693</v>
      </c>
      <c r="L4" s="22" t="s">
        <v>694</v>
      </c>
      <c r="M4" s="22" t="s">
        <v>695</v>
      </c>
      <c r="N4" s="22" t="s">
        <v>696</v>
      </c>
      <c r="O4" s="22" t="s">
        <v>697</v>
      </c>
      <c r="P4" s="23"/>
    </row>
    <row r="5">
      <c r="A5" s="22" t="s">
        <v>698</v>
      </c>
      <c r="B5" s="22" t="s">
        <v>699</v>
      </c>
      <c r="C5" s="22" t="s">
        <v>700</v>
      </c>
      <c r="D5" s="22">
        <v>2023.0</v>
      </c>
      <c r="E5" s="22" t="s">
        <v>701</v>
      </c>
      <c r="F5" s="22" t="s">
        <v>702</v>
      </c>
      <c r="G5" s="22" t="s">
        <v>703</v>
      </c>
      <c r="H5" s="22" t="s">
        <v>704</v>
      </c>
      <c r="I5" s="22" t="s">
        <v>705</v>
      </c>
      <c r="J5" s="22" t="s">
        <v>706</v>
      </c>
      <c r="K5" s="22" t="s">
        <v>707</v>
      </c>
      <c r="L5" s="22" t="s">
        <v>708</v>
      </c>
      <c r="M5" s="22" t="s">
        <v>709</v>
      </c>
      <c r="N5" s="22" t="s">
        <v>710</v>
      </c>
      <c r="O5" s="22" t="s">
        <v>711</v>
      </c>
      <c r="P5" s="23"/>
    </row>
    <row r="6">
      <c r="A6" s="22" t="s">
        <v>712</v>
      </c>
      <c r="B6" s="22" t="s">
        <v>713</v>
      </c>
      <c r="C6" s="22" t="s">
        <v>713</v>
      </c>
      <c r="D6" s="22">
        <v>2022.0</v>
      </c>
      <c r="E6" s="22" t="s">
        <v>663</v>
      </c>
      <c r="F6" s="22" t="s">
        <v>714</v>
      </c>
      <c r="G6" s="22" t="s">
        <v>689</v>
      </c>
      <c r="H6" s="22" t="s">
        <v>715</v>
      </c>
      <c r="I6" s="22" t="s">
        <v>716</v>
      </c>
      <c r="J6" s="22" t="s">
        <v>717</v>
      </c>
      <c r="K6" s="22" t="s">
        <v>693</v>
      </c>
      <c r="L6" s="22" t="s">
        <v>718</v>
      </c>
      <c r="M6" s="22" t="s">
        <v>719</v>
      </c>
      <c r="N6" s="22" t="s">
        <v>720</v>
      </c>
      <c r="O6" s="22" t="s">
        <v>721</v>
      </c>
      <c r="P6" s="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22.29"/>
    <col customWidth="1" min="13" max="26" width="10.71"/>
  </cols>
  <sheetData>
    <row r="1" ht="14.25" customHeight="1">
      <c r="A1" s="24" t="s">
        <v>61</v>
      </c>
      <c r="B1" s="25" t="s">
        <v>722</v>
      </c>
      <c r="C1" s="25" t="s">
        <v>723</v>
      </c>
      <c r="D1" s="25" t="s">
        <v>63</v>
      </c>
      <c r="E1" s="25" t="s">
        <v>64</v>
      </c>
      <c r="F1" s="25" t="s">
        <v>65</v>
      </c>
      <c r="G1" s="25" t="s">
        <v>724</v>
      </c>
      <c r="H1" s="25" t="s">
        <v>725</v>
      </c>
      <c r="I1" s="25" t="s">
        <v>726</v>
      </c>
      <c r="J1" s="25" t="s">
        <v>727</v>
      </c>
      <c r="K1" s="25" t="s">
        <v>728</v>
      </c>
      <c r="L1" s="25"/>
      <c r="M1" s="25"/>
    </row>
    <row r="2" ht="14.25" customHeight="1">
      <c r="A2" s="26">
        <v>1.0</v>
      </c>
      <c r="B2" s="27" t="s">
        <v>661</v>
      </c>
      <c r="C2" s="27">
        <v>2021.0</v>
      </c>
      <c r="D2" s="27" t="s">
        <v>729</v>
      </c>
      <c r="E2" s="27" t="s">
        <v>730</v>
      </c>
      <c r="F2" s="27" t="s">
        <v>731</v>
      </c>
      <c r="G2" s="27" t="s">
        <v>732</v>
      </c>
      <c r="H2" s="27" t="s">
        <v>733</v>
      </c>
      <c r="I2" s="27" t="s">
        <v>733</v>
      </c>
      <c r="J2" s="27" t="s">
        <v>731</v>
      </c>
      <c r="K2" s="27" t="s">
        <v>732</v>
      </c>
      <c r="L2" s="25"/>
      <c r="M2" s="25"/>
    </row>
    <row r="3" ht="14.25" customHeight="1">
      <c r="A3" s="28">
        <f t="shared" ref="A3:A31" si="1">A2+1</f>
        <v>2</v>
      </c>
      <c r="B3" s="27" t="s">
        <v>675</v>
      </c>
      <c r="C3" s="27">
        <v>2024.0</v>
      </c>
      <c r="D3" s="27" t="s">
        <v>734</v>
      </c>
      <c r="E3" s="27" t="s">
        <v>735</v>
      </c>
      <c r="F3" s="27" t="s">
        <v>716</v>
      </c>
      <c r="G3" s="27" t="s">
        <v>732</v>
      </c>
      <c r="H3" s="27" t="s">
        <v>733</v>
      </c>
      <c r="I3" s="27" t="s">
        <v>733</v>
      </c>
      <c r="J3" s="27" t="s">
        <v>716</v>
      </c>
      <c r="K3" s="27" t="s">
        <v>732</v>
      </c>
      <c r="L3" s="25"/>
      <c r="M3" s="25"/>
    </row>
    <row r="4" ht="14.25" customHeight="1">
      <c r="A4" s="28">
        <f t="shared" si="1"/>
        <v>3</v>
      </c>
      <c r="B4" s="27" t="s">
        <v>686</v>
      </c>
      <c r="C4" s="27">
        <v>2021.0</v>
      </c>
      <c r="D4" s="27" t="s">
        <v>736</v>
      </c>
      <c r="E4" s="27" t="s">
        <v>737</v>
      </c>
      <c r="F4" s="27" t="s">
        <v>691</v>
      </c>
      <c r="G4" s="27" t="s">
        <v>732</v>
      </c>
      <c r="H4" s="27" t="s">
        <v>733</v>
      </c>
      <c r="I4" s="27" t="s">
        <v>733</v>
      </c>
      <c r="J4" s="27" t="s">
        <v>691</v>
      </c>
      <c r="K4" s="27" t="s">
        <v>732</v>
      </c>
      <c r="L4" s="25"/>
      <c r="M4" s="25"/>
    </row>
    <row r="5" ht="14.25" customHeight="1">
      <c r="A5" s="28">
        <f t="shared" si="1"/>
        <v>4</v>
      </c>
      <c r="B5" s="27" t="s">
        <v>699</v>
      </c>
      <c r="C5" s="27">
        <v>2024.0</v>
      </c>
      <c r="D5" s="27" t="s">
        <v>738</v>
      </c>
      <c r="E5" s="27" t="s">
        <v>739</v>
      </c>
      <c r="F5" s="27" t="s">
        <v>740</v>
      </c>
      <c r="G5" s="27" t="s">
        <v>704</v>
      </c>
      <c r="H5" s="27" t="s">
        <v>733</v>
      </c>
      <c r="I5" s="27" t="s">
        <v>733</v>
      </c>
      <c r="J5" s="27" t="s">
        <v>740</v>
      </c>
      <c r="K5" s="27" t="s">
        <v>704</v>
      </c>
      <c r="L5" s="25"/>
      <c r="M5" s="25"/>
    </row>
    <row r="6" ht="14.25" customHeight="1">
      <c r="A6" s="28">
        <f t="shared" si="1"/>
        <v>5</v>
      </c>
      <c r="B6" s="27" t="s">
        <v>713</v>
      </c>
      <c r="C6" s="27">
        <v>2020.0</v>
      </c>
      <c r="D6" s="27" t="s">
        <v>741</v>
      </c>
      <c r="E6" s="27" t="s">
        <v>742</v>
      </c>
      <c r="F6" s="27" t="s">
        <v>716</v>
      </c>
      <c r="G6" s="27" t="s">
        <v>715</v>
      </c>
      <c r="H6" s="27" t="s">
        <v>733</v>
      </c>
      <c r="I6" s="27" t="s">
        <v>733</v>
      </c>
      <c r="J6" s="27" t="s">
        <v>716</v>
      </c>
      <c r="K6" s="27" t="s">
        <v>715</v>
      </c>
      <c r="L6" s="25"/>
      <c r="M6" s="25"/>
    </row>
    <row r="7" ht="14.25" customHeight="1">
      <c r="A7" s="28">
        <f t="shared" si="1"/>
        <v>6</v>
      </c>
      <c r="B7" s="27" t="s">
        <v>743</v>
      </c>
      <c r="C7" s="27">
        <v>2021.0</v>
      </c>
      <c r="D7" s="27" t="s">
        <v>744</v>
      </c>
      <c r="E7" s="27" t="s">
        <v>745</v>
      </c>
      <c r="F7" s="27" t="s">
        <v>746</v>
      </c>
      <c r="G7" s="27" t="s">
        <v>747</v>
      </c>
      <c r="H7" s="27" t="s">
        <v>733</v>
      </c>
      <c r="I7" s="27" t="s">
        <v>733</v>
      </c>
      <c r="J7" s="27" t="s">
        <v>748</v>
      </c>
      <c r="K7" s="27" t="s">
        <v>747</v>
      </c>
      <c r="L7" s="25"/>
      <c r="M7" s="25"/>
    </row>
    <row r="8" ht="14.25" customHeight="1">
      <c r="A8" s="28">
        <f t="shared" si="1"/>
        <v>7</v>
      </c>
      <c r="B8" s="27" t="s">
        <v>749</v>
      </c>
      <c r="C8" s="27">
        <v>2021.0</v>
      </c>
      <c r="D8" s="27" t="s">
        <v>750</v>
      </c>
      <c r="E8" s="27" t="s">
        <v>751</v>
      </c>
      <c r="F8" s="27" t="s">
        <v>752</v>
      </c>
      <c r="G8" s="27" t="s">
        <v>753</v>
      </c>
      <c r="H8" s="27" t="s">
        <v>733</v>
      </c>
      <c r="I8" s="27" t="s">
        <v>733</v>
      </c>
      <c r="J8" s="27" t="s">
        <v>752</v>
      </c>
      <c r="K8" s="27" t="s">
        <v>753</v>
      </c>
      <c r="L8" s="25"/>
      <c r="M8" s="25"/>
    </row>
    <row r="9" ht="14.25" customHeight="1">
      <c r="A9" s="28">
        <f t="shared" si="1"/>
        <v>8</v>
      </c>
      <c r="B9" s="27" t="s">
        <v>754</v>
      </c>
      <c r="C9" s="27">
        <v>2020.0</v>
      </c>
      <c r="D9" s="27" t="s">
        <v>755</v>
      </c>
      <c r="E9" s="27" t="s">
        <v>756</v>
      </c>
      <c r="F9" s="27" t="s">
        <v>757</v>
      </c>
      <c r="G9" s="27" t="s">
        <v>758</v>
      </c>
      <c r="H9" s="27" t="s">
        <v>733</v>
      </c>
      <c r="I9" s="27" t="s">
        <v>733</v>
      </c>
      <c r="J9" s="27" t="s">
        <v>757</v>
      </c>
      <c r="K9" s="27" t="s">
        <v>758</v>
      </c>
      <c r="L9" s="25"/>
      <c r="M9" s="25"/>
    </row>
    <row r="10" ht="14.25" customHeight="1">
      <c r="A10" s="28">
        <f t="shared" si="1"/>
        <v>9</v>
      </c>
      <c r="B10" s="27" t="s">
        <v>759</v>
      </c>
      <c r="C10" s="27">
        <v>2019.0</v>
      </c>
      <c r="D10" s="27" t="s">
        <v>760</v>
      </c>
      <c r="E10" s="27" t="s">
        <v>761</v>
      </c>
      <c r="F10" s="27" t="s">
        <v>716</v>
      </c>
      <c r="G10" s="27" t="s">
        <v>753</v>
      </c>
      <c r="H10" s="27" t="s">
        <v>733</v>
      </c>
      <c r="I10" s="27" t="s">
        <v>733</v>
      </c>
      <c r="J10" s="27" t="s">
        <v>716</v>
      </c>
      <c r="K10" s="27" t="s">
        <v>753</v>
      </c>
      <c r="L10" s="25"/>
      <c r="M10" s="25"/>
    </row>
    <row r="11" ht="14.25" customHeight="1">
      <c r="A11" s="28">
        <f t="shared" si="1"/>
        <v>10</v>
      </c>
      <c r="B11" s="27" t="s">
        <v>762</v>
      </c>
      <c r="C11" s="27">
        <v>2020.0</v>
      </c>
      <c r="D11" s="27" t="s">
        <v>763</v>
      </c>
      <c r="E11" s="27" t="s">
        <v>764</v>
      </c>
      <c r="F11" s="27" t="s">
        <v>765</v>
      </c>
      <c r="G11" s="27" t="s">
        <v>766</v>
      </c>
      <c r="H11" s="27" t="s">
        <v>733</v>
      </c>
      <c r="I11" s="27" t="s">
        <v>733</v>
      </c>
      <c r="J11" s="27" t="s">
        <v>765</v>
      </c>
      <c r="K11" s="27" t="s">
        <v>766</v>
      </c>
      <c r="L11" s="25"/>
      <c r="M11" s="25"/>
    </row>
    <row r="12" ht="14.25" customHeight="1">
      <c r="A12" s="28">
        <f t="shared" si="1"/>
        <v>11</v>
      </c>
      <c r="B12" s="27" t="s">
        <v>767</v>
      </c>
      <c r="C12" s="27">
        <v>2015.0</v>
      </c>
      <c r="D12" s="27" t="s">
        <v>768</v>
      </c>
      <c r="E12" s="27" t="s">
        <v>769</v>
      </c>
      <c r="F12" s="27" t="s">
        <v>770</v>
      </c>
      <c r="G12" s="27" t="s">
        <v>771</v>
      </c>
      <c r="H12" s="27" t="s">
        <v>772</v>
      </c>
      <c r="I12" s="27" t="s">
        <v>772</v>
      </c>
      <c r="J12" s="27" t="s">
        <v>770</v>
      </c>
      <c r="K12" s="27" t="s">
        <v>771</v>
      </c>
      <c r="L12" s="25"/>
      <c r="M12" s="25"/>
    </row>
    <row r="13" ht="14.25" customHeight="1">
      <c r="A13" s="28">
        <f t="shared" si="1"/>
        <v>12</v>
      </c>
      <c r="B13" s="27" t="s">
        <v>773</v>
      </c>
      <c r="C13" s="27">
        <v>2026.0</v>
      </c>
      <c r="D13" s="27" t="s">
        <v>774</v>
      </c>
      <c r="E13" s="27" t="s">
        <v>775</v>
      </c>
      <c r="F13" s="27" t="s">
        <v>716</v>
      </c>
      <c r="G13" s="27" t="s">
        <v>776</v>
      </c>
      <c r="H13" s="27" t="s">
        <v>733</v>
      </c>
      <c r="I13" s="27" t="s">
        <v>733</v>
      </c>
      <c r="J13" s="27" t="s">
        <v>716</v>
      </c>
      <c r="K13" s="27" t="s">
        <v>776</v>
      </c>
      <c r="L13" s="25"/>
      <c r="M13" s="25"/>
    </row>
    <row r="14" ht="14.25" customHeight="1">
      <c r="A14" s="28">
        <f t="shared" si="1"/>
        <v>13</v>
      </c>
      <c r="B14" s="27" t="s">
        <v>777</v>
      </c>
      <c r="C14" s="27">
        <v>2023.0</v>
      </c>
      <c r="D14" s="27" t="s">
        <v>778</v>
      </c>
      <c r="E14" s="27" t="s">
        <v>779</v>
      </c>
      <c r="F14" s="27" t="s">
        <v>667</v>
      </c>
      <c r="G14" s="27" t="s">
        <v>771</v>
      </c>
      <c r="H14" s="27" t="s">
        <v>733</v>
      </c>
      <c r="I14" s="27" t="s">
        <v>733</v>
      </c>
      <c r="J14" s="27" t="s">
        <v>667</v>
      </c>
      <c r="K14" s="27" t="s">
        <v>771</v>
      </c>
      <c r="L14" s="25"/>
      <c r="M14" s="25"/>
    </row>
    <row r="15" ht="14.25" customHeight="1">
      <c r="A15" s="28">
        <f t="shared" si="1"/>
        <v>14</v>
      </c>
      <c r="B15" s="27" t="s">
        <v>780</v>
      </c>
      <c r="C15" s="27">
        <v>2023.0</v>
      </c>
      <c r="D15" s="27" t="s">
        <v>781</v>
      </c>
      <c r="E15" s="27" t="s">
        <v>782</v>
      </c>
      <c r="F15" s="27" t="s">
        <v>783</v>
      </c>
      <c r="G15" s="27" t="s">
        <v>784</v>
      </c>
      <c r="H15" s="27" t="s">
        <v>733</v>
      </c>
      <c r="I15" s="27" t="s">
        <v>733</v>
      </c>
      <c r="J15" s="27" t="s">
        <v>783</v>
      </c>
      <c r="K15" s="27" t="s">
        <v>784</v>
      </c>
      <c r="L15" s="25"/>
      <c r="M15" s="25"/>
    </row>
    <row r="16" ht="14.25" customHeight="1">
      <c r="A16" s="28">
        <f t="shared" si="1"/>
        <v>15</v>
      </c>
      <c r="B16" s="27" t="s">
        <v>785</v>
      </c>
      <c r="C16" s="27">
        <v>2021.0</v>
      </c>
      <c r="D16" s="27" t="s">
        <v>786</v>
      </c>
      <c r="E16" s="27" t="s">
        <v>787</v>
      </c>
      <c r="F16" s="27" t="s">
        <v>788</v>
      </c>
      <c r="G16" s="27" t="s">
        <v>776</v>
      </c>
      <c r="H16" s="27" t="s">
        <v>772</v>
      </c>
      <c r="I16" s="27" t="s">
        <v>772</v>
      </c>
      <c r="J16" s="27" t="s">
        <v>788</v>
      </c>
      <c r="K16" s="27" t="s">
        <v>776</v>
      </c>
      <c r="L16" s="25"/>
      <c r="M16" s="25"/>
    </row>
    <row r="17" ht="14.25" customHeight="1">
      <c r="A17" s="28">
        <f t="shared" si="1"/>
        <v>16</v>
      </c>
      <c r="B17" s="27" t="s">
        <v>789</v>
      </c>
      <c r="C17" s="27">
        <v>2014.0</v>
      </c>
      <c r="D17" s="27" t="s">
        <v>790</v>
      </c>
      <c r="E17" s="27" t="s">
        <v>791</v>
      </c>
      <c r="F17" s="27" t="s">
        <v>792</v>
      </c>
      <c r="G17" s="27" t="s">
        <v>793</v>
      </c>
      <c r="H17" s="27" t="s">
        <v>772</v>
      </c>
      <c r="I17" s="27" t="s">
        <v>772</v>
      </c>
      <c r="J17" s="27" t="s">
        <v>792</v>
      </c>
      <c r="K17" s="27" t="s">
        <v>793</v>
      </c>
      <c r="L17" s="25"/>
      <c r="M17" s="25"/>
    </row>
    <row r="18" ht="14.25" customHeight="1">
      <c r="A18" s="28">
        <f t="shared" si="1"/>
        <v>17</v>
      </c>
      <c r="B18" s="27" t="s">
        <v>794</v>
      </c>
      <c r="C18" s="27">
        <v>2022.0</v>
      </c>
      <c r="D18" s="27" t="s">
        <v>795</v>
      </c>
      <c r="E18" s="27" t="s">
        <v>796</v>
      </c>
      <c r="F18" s="27" t="s">
        <v>770</v>
      </c>
      <c r="G18" s="27" t="s">
        <v>776</v>
      </c>
      <c r="H18" s="27" t="s">
        <v>772</v>
      </c>
      <c r="I18" s="27" t="s">
        <v>772</v>
      </c>
      <c r="J18" s="27" t="s">
        <v>770</v>
      </c>
      <c r="K18" s="27" t="s">
        <v>776</v>
      </c>
      <c r="L18" s="25"/>
      <c r="M18" s="25"/>
    </row>
    <row r="19" ht="14.25" customHeight="1">
      <c r="A19" s="28">
        <f t="shared" si="1"/>
        <v>18</v>
      </c>
      <c r="B19" s="27" t="s">
        <v>797</v>
      </c>
      <c r="C19" s="27">
        <v>2021.0</v>
      </c>
      <c r="D19" s="27" t="s">
        <v>798</v>
      </c>
      <c r="E19" s="27" t="s">
        <v>799</v>
      </c>
      <c r="F19" s="27" t="s">
        <v>667</v>
      </c>
      <c r="G19" s="27" t="s">
        <v>771</v>
      </c>
      <c r="H19" s="27" t="s">
        <v>733</v>
      </c>
      <c r="I19" s="27" t="s">
        <v>733</v>
      </c>
      <c r="J19" s="27" t="s">
        <v>667</v>
      </c>
      <c r="K19" s="27" t="s">
        <v>771</v>
      </c>
      <c r="L19" s="25"/>
      <c r="M19" s="25"/>
    </row>
    <row r="20" ht="14.25" customHeight="1">
      <c r="A20" s="28">
        <f t="shared" si="1"/>
        <v>19</v>
      </c>
      <c r="B20" s="27" t="s">
        <v>800</v>
      </c>
      <c r="C20" s="27">
        <v>2024.0</v>
      </c>
      <c r="D20" s="27" t="s">
        <v>801</v>
      </c>
      <c r="E20" s="27" t="s">
        <v>802</v>
      </c>
      <c r="F20" s="27" t="s">
        <v>716</v>
      </c>
      <c r="G20" s="27" t="s">
        <v>771</v>
      </c>
      <c r="H20" s="27" t="s">
        <v>733</v>
      </c>
      <c r="I20" s="27" t="s">
        <v>733</v>
      </c>
      <c r="J20" s="27" t="s">
        <v>716</v>
      </c>
      <c r="K20" s="27" t="s">
        <v>771</v>
      </c>
      <c r="L20" s="25"/>
      <c r="M20" s="25"/>
    </row>
    <row r="21" ht="14.25" customHeight="1">
      <c r="A21" s="28">
        <f t="shared" si="1"/>
        <v>20</v>
      </c>
      <c r="B21" s="27" t="s">
        <v>803</v>
      </c>
      <c r="C21" s="27">
        <v>2024.0</v>
      </c>
      <c r="D21" s="27" t="s">
        <v>804</v>
      </c>
      <c r="E21" s="27" t="s">
        <v>805</v>
      </c>
      <c r="F21" s="27" t="s">
        <v>679</v>
      </c>
      <c r="G21" s="27" t="s">
        <v>776</v>
      </c>
      <c r="H21" s="27" t="s">
        <v>733</v>
      </c>
      <c r="I21" s="27" t="s">
        <v>733</v>
      </c>
      <c r="J21" s="27" t="s">
        <v>679</v>
      </c>
      <c r="K21" s="27" t="s">
        <v>776</v>
      </c>
      <c r="L21" s="25"/>
      <c r="M21" s="25"/>
    </row>
    <row r="22" ht="14.25" customHeight="1">
      <c r="A22" s="28">
        <f t="shared" si="1"/>
        <v>21</v>
      </c>
      <c r="B22" s="27" t="s">
        <v>767</v>
      </c>
      <c r="C22" s="27">
        <v>2023.0</v>
      </c>
      <c r="D22" s="27" t="s">
        <v>806</v>
      </c>
      <c r="E22" s="27" t="s">
        <v>807</v>
      </c>
      <c r="F22" s="27" t="s">
        <v>757</v>
      </c>
      <c r="G22" s="27" t="s">
        <v>807</v>
      </c>
      <c r="H22" s="27" t="s">
        <v>733</v>
      </c>
      <c r="I22" s="27" t="s">
        <v>733</v>
      </c>
      <c r="J22" s="27" t="s">
        <v>757</v>
      </c>
      <c r="K22" s="27" t="s">
        <v>807</v>
      </c>
      <c r="L22" s="25"/>
      <c r="M22" s="25"/>
    </row>
    <row r="23" ht="14.25" customHeight="1">
      <c r="A23" s="28">
        <f t="shared" si="1"/>
        <v>22</v>
      </c>
      <c r="B23" s="27" t="s">
        <v>808</v>
      </c>
      <c r="C23" s="27">
        <v>2014.0</v>
      </c>
      <c r="D23" s="27" t="s">
        <v>809</v>
      </c>
      <c r="E23" s="27" t="s">
        <v>810</v>
      </c>
      <c r="F23" s="27" t="s">
        <v>811</v>
      </c>
      <c r="G23" s="27" t="s">
        <v>812</v>
      </c>
      <c r="H23" s="27" t="s">
        <v>733</v>
      </c>
      <c r="I23" s="27" t="s">
        <v>733</v>
      </c>
      <c r="J23" s="27" t="s">
        <v>811</v>
      </c>
      <c r="K23" s="27" t="s">
        <v>812</v>
      </c>
      <c r="L23" s="25"/>
      <c r="M23" s="25"/>
    </row>
    <row r="24" ht="14.25" customHeight="1">
      <c r="A24" s="28">
        <f t="shared" si="1"/>
        <v>23</v>
      </c>
      <c r="B24" s="27" t="s">
        <v>813</v>
      </c>
      <c r="C24" s="27">
        <v>2025.0</v>
      </c>
      <c r="D24" s="27" t="s">
        <v>814</v>
      </c>
      <c r="E24" s="27" t="s">
        <v>815</v>
      </c>
      <c r="F24" s="27" t="s">
        <v>816</v>
      </c>
      <c r="G24" s="27" t="s">
        <v>732</v>
      </c>
      <c r="H24" s="27" t="s">
        <v>733</v>
      </c>
      <c r="I24" s="27" t="s">
        <v>733</v>
      </c>
      <c r="J24" s="27" t="s">
        <v>816</v>
      </c>
      <c r="K24" s="27" t="s">
        <v>732</v>
      </c>
      <c r="L24" s="25"/>
      <c r="M24" s="25"/>
    </row>
    <row r="25" ht="14.25" customHeight="1">
      <c r="A25" s="28">
        <f t="shared" si="1"/>
        <v>24</v>
      </c>
      <c r="B25" s="27" t="s">
        <v>813</v>
      </c>
      <c r="C25" s="27">
        <v>2021.0</v>
      </c>
      <c r="D25" s="27" t="s">
        <v>817</v>
      </c>
      <c r="E25" s="27" t="s">
        <v>818</v>
      </c>
      <c r="F25" s="27" t="s">
        <v>819</v>
      </c>
      <c r="G25" s="27" t="s">
        <v>784</v>
      </c>
      <c r="H25" s="27" t="s">
        <v>733</v>
      </c>
      <c r="I25" s="27" t="s">
        <v>733</v>
      </c>
      <c r="J25" s="27" t="s">
        <v>819</v>
      </c>
      <c r="K25" s="27" t="s">
        <v>784</v>
      </c>
      <c r="L25" s="25"/>
      <c r="M25" s="25"/>
    </row>
    <row r="26" ht="14.25" customHeight="1">
      <c r="A26" s="28">
        <f t="shared" si="1"/>
        <v>25</v>
      </c>
      <c r="B26" s="27" t="s">
        <v>820</v>
      </c>
      <c r="C26" s="27">
        <v>2019.0</v>
      </c>
      <c r="D26" s="27" t="s">
        <v>821</v>
      </c>
      <c r="E26" s="27" t="s">
        <v>822</v>
      </c>
      <c r="F26" s="27" t="s">
        <v>716</v>
      </c>
      <c r="G26" s="27" t="s">
        <v>823</v>
      </c>
      <c r="H26" s="27" t="s">
        <v>733</v>
      </c>
      <c r="I26" s="27" t="s">
        <v>733</v>
      </c>
      <c r="J26" s="27" t="s">
        <v>716</v>
      </c>
      <c r="K26" s="27" t="s">
        <v>823</v>
      </c>
      <c r="L26" s="25"/>
      <c r="M26" s="25"/>
    </row>
    <row r="27" ht="14.25" customHeight="1">
      <c r="A27" s="28">
        <f t="shared" si="1"/>
        <v>26</v>
      </c>
      <c r="B27" s="27" t="s">
        <v>824</v>
      </c>
      <c r="C27" s="27">
        <v>2014.0</v>
      </c>
      <c r="D27" s="27" t="s">
        <v>825</v>
      </c>
      <c r="E27" s="27" t="s">
        <v>826</v>
      </c>
      <c r="F27" s="27" t="s">
        <v>679</v>
      </c>
      <c r="G27" s="27" t="s">
        <v>827</v>
      </c>
      <c r="H27" s="27" t="s">
        <v>733</v>
      </c>
      <c r="I27" s="27" t="s">
        <v>828</v>
      </c>
      <c r="J27" s="27" t="s">
        <v>679</v>
      </c>
      <c r="K27" s="27" t="s">
        <v>827</v>
      </c>
      <c r="L27" s="25"/>
      <c r="M27" s="25"/>
    </row>
    <row r="28" ht="14.25" customHeight="1">
      <c r="A28" s="28">
        <f t="shared" si="1"/>
        <v>27</v>
      </c>
      <c r="B28" s="27" t="s">
        <v>829</v>
      </c>
      <c r="C28" s="27">
        <v>2016.0</v>
      </c>
      <c r="D28" s="27" t="s">
        <v>830</v>
      </c>
      <c r="E28" s="27" t="s">
        <v>831</v>
      </c>
      <c r="F28" s="27" t="s">
        <v>832</v>
      </c>
      <c r="G28" s="27" t="s">
        <v>833</v>
      </c>
      <c r="H28" s="27" t="s">
        <v>733</v>
      </c>
      <c r="I28" s="27" t="s">
        <v>828</v>
      </c>
      <c r="J28" s="27" t="s">
        <v>832</v>
      </c>
      <c r="K28" s="27" t="s">
        <v>833</v>
      </c>
      <c r="L28" s="25"/>
      <c r="M28" s="25"/>
    </row>
    <row r="29" ht="14.25" customHeight="1">
      <c r="A29" s="28">
        <f t="shared" si="1"/>
        <v>28</v>
      </c>
      <c r="B29" s="27" t="s">
        <v>834</v>
      </c>
      <c r="C29" s="27">
        <v>2020.0</v>
      </c>
      <c r="D29" s="27" t="s">
        <v>835</v>
      </c>
      <c r="E29" s="27" t="s">
        <v>836</v>
      </c>
      <c r="F29" s="27" t="s">
        <v>716</v>
      </c>
      <c r="G29" s="27" t="s">
        <v>776</v>
      </c>
      <c r="H29" s="27" t="s">
        <v>733</v>
      </c>
      <c r="I29" s="27" t="s">
        <v>828</v>
      </c>
      <c r="J29" s="27" t="s">
        <v>716</v>
      </c>
      <c r="K29" s="27" t="s">
        <v>776</v>
      </c>
      <c r="L29" s="25"/>
      <c r="M29" s="25"/>
    </row>
    <row r="30" ht="14.25" customHeight="1">
      <c r="A30" s="28">
        <f t="shared" si="1"/>
        <v>29</v>
      </c>
      <c r="B30" s="27" t="s">
        <v>837</v>
      </c>
      <c r="C30" s="27">
        <v>2018.0</v>
      </c>
      <c r="D30" s="27" t="s">
        <v>838</v>
      </c>
      <c r="E30" s="27" t="s">
        <v>839</v>
      </c>
      <c r="F30" s="27" t="s">
        <v>705</v>
      </c>
      <c r="G30" s="27" t="s">
        <v>840</v>
      </c>
      <c r="H30" s="27" t="s">
        <v>733</v>
      </c>
      <c r="I30" s="27" t="s">
        <v>828</v>
      </c>
      <c r="J30" s="27" t="s">
        <v>705</v>
      </c>
      <c r="K30" s="27" t="s">
        <v>840</v>
      </c>
      <c r="L30" s="25"/>
      <c r="M30" s="25"/>
    </row>
    <row r="31" ht="14.25" customHeight="1">
      <c r="A31" s="28">
        <f t="shared" si="1"/>
        <v>30</v>
      </c>
      <c r="B31" s="27" t="s">
        <v>841</v>
      </c>
      <c r="C31" s="27">
        <v>2002.0</v>
      </c>
      <c r="D31" s="27" t="s">
        <v>842</v>
      </c>
      <c r="E31" s="27" t="s">
        <v>826</v>
      </c>
      <c r="F31" s="27" t="s">
        <v>843</v>
      </c>
      <c r="G31" s="27" t="s">
        <v>776</v>
      </c>
      <c r="H31" s="27" t="s">
        <v>733</v>
      </c>
      <c r="I31" s="27" t="s">
        <v>828</v>
      </c>
      <c r="J31" s="27" t="s">
        <v>843</v>
      </c>
      <c r="K31" s="27" t="s">
        <v>776</v>
      </c>
      <c r="L31" s="25"/>
      <c r="M31" s="25"/>
    </row>
    <row r="32" ht="14.25" customHeight="1">
      <c r="A32" s="28"/>
      <c r="B32" s="25"/>
      <c r="C32" s="25"/>
      <c r="D32" s="25"/>
      <c r="E32" s="25"/>
      <c r="F32" s="25"/>
      <c r="G32" s="25"/>
      <c r="H32" s="25"/>
      <c r="I32" s="25"/>
      <c r="J32" s="25"/>
      <c r="K32" s="25"/>
      <c r="L32" s="25"/>
      <c r="M32" s="25"/>
    </row>
    <row r="33" ht="14.25" customHeight="1">
      <c r="A33" s="28"/>
      <c r="B33" s="25"/>
      <c r="C33" s="25"/>
      <c r="D33" s="25"/>
      <c r="E33" s="25"/>
      <c r="F33" s="25"/>
      <c r="G33" s="25"/>
      <c r="H33" s="25"/>
      <c r="I33" s="25"/>
      <c r="J33" s="25"/>
      <c r="K33" s="25"/>
      <c r="L33" s="25"/>
      <c r="M33" s="25"/>
    </row>
    <row r="34" ht="14.25" customHeight="1">
      <c r="A34" s="29"/>
    </row>
    <row r="35" ht="14.25" customHeight="1">
      <c r="A35" s="29"/>
    </row>
    <row r="36" ht="14.25" customHeight="1">
      <c r="A36" s="29"/>
    </row>
    <row r="37" ht="14.25" customHeight="1">
      <c r="A37" s="29"/>
    </row>
    <row r="38" ht="14.25" customHeight="1">
      <c r="A38" s="29"/>
    </row>
    <row r="39" ht="14.25" customHeight="1">
      <c r="A39" s="29"/>
    </row>
    <row r="40" ht="14.25" customHeight="1">
      <c r="A40" s="29"/>
    </row>
    <row r="41" ht="14.25" customHeight="1">
      <c r="A41" s="29"/>
    </row>
    <row r="42" ht="14.25" customHeight="1">
      <c r="A42" s="29"/>
    </row>
    <row r="43" ht="14.25" customHeight="1">
      <c r="A43" s="29"/>
    </row>
    <row r="44" ht="14.25" customHeight="1">
      <c r="A44" s="29"/>
    </row>
    <row r="45" ht="14.25" customHeight="1">
      <c r="A45" s="29"/>
    </row>
    <row r="46" ht="14.25" customHeight="1">
      <c r="A46" s="29"/>
    </row>
    <row r="47" ht="14.25" customHeight="1">
      <c r="A47" s="29"/>
    </row>
    <row r="48" ht="14.25" customHeight="1">
      <c r="A48" s="29"/>
    </row>
    <row r="49" ht="14.25" customHeight="1">
      <c r="A49" s="29"/>
    </row>
    <row r="50" ht="14.25" customHeight="1">
      <c r="A50" s="29"/>
    </row>
  </sheetData>
  <dataValidations>
    <dataValidation type="list" allowBlank="1" showErrorMessage="1" sqref="H2:H31">
      <formula1>"Académico,Social"</formula1>
    </dataValidation>
    <dataValidation type="list" allowBlank="1" showErrorMessage="1" sqref="I2:I31">
      <formula1>"Académico,Social,Institucional"</formula1>
    </dataValidation>
  </dataValidations>
  <printOptions/>
  <pageMargins bottom="0.75" footer="0.0" header="0.0" left="0.7" right="0.7" top="0.75"/>
  <pageSetup orientation="landscape"/>
  <drawing r:id="rId1"/>
</worksheet>
</file>